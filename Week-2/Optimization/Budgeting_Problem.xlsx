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kot/Documents/MGT 207/Week 2 (Abridged Optimization)/"/>
    </mc:Choice>
  </mc:AlternateContent>
  <xr:revisionPtr revIDLastSave="0" documentId="13_ncr:1_{1E14764D-3854-4C4C-BAA9-7CE72DE1E3F5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base model" sheetId="1" r:id="rId1"/>
    <sheet name="tolerance 0.5" sheetId="4" r:id="rId2"/>
    <sheet name="P6 P7 not together" sheetId="5" r:id="rId3"/>
    <sheet name="P1 P2 must be together" sheetId="7" r:id="rId4"/>
    <sheet name="If P3 then P4" sheetId="8" r:id="rId5"/>
    <sheet name="At most 4 of P1-P10" sheetId="6" r:id="rId6"/>
    <sheet name="Sheet2" sheetId="2" r:id="rId7"/>
    <sheet name="Sheet3" sheetId="3" r:id="rId8"/>
  </sheets>
  <definedNames>
    <definedName name="doit">'base model'!$D$23:$W$23</definedName>
    <definedName name="solver_adj" localSheetId="5" hidden="1">'At most 4 of P1-P10'!$D$23:$W$23</definedName>
    <definedName name="solver_adj" localSheetId="0" hidden="1">'base model'!$D$23:$W$23</definedName>
    <definedName name="solver_adj" localSheetId="4" hidden="1">'If P3 then P4'!$D$23:$W$23</definedName>
    <definedName name="solver_adj" localSheetId="3" hidden="1">'P1 P2 must be together'!$D$23:$W$23</definedName>
    <definedName name="solver_adj" localSheetId="2" hidden="1">'P6 P7 not together'!$D$23:$W$23</definedName>
    <definedName name="solver_adj" localSheetId="1" hidden="1">'tolerance 0.5'!$D$23:$W$23</definedName>
    <definedName name="solver_cvg" localSheetId="5" hidden="1">0.0001</definedName>
    <definedName name="solver_cvg" localSheetId="0" hidden="1">0.0001</definedName>
    <definedName name="solver_cvg" localSheetId="4" hidden="1">0.0001</definedName>
    <definedName name="solver_cvg" localSheetId="3" hidden="1">0.0001</definedName>
    <definedName name="solver_cvg" localSheetId="2" hidden="1">0.0001</definedName>
    <definedName name="solver_cvg" localSheetId="1" hidden="1">0.0001</definedName>
    <definedName name="solver_drv" localSheetId="5" hidden="1">1</definedName>
    <definedName name="solver_drv" localSheetId="0" hidden="1">1</definedName>
    <definedName name="solver_drv" localSheetId="4" hidden="1">1</definedName>
    <definedName name="solver_drv" localSheetId="3" hidden="1">1</definedName>
    <definedName name="solver_drv" localSheetId="2" hidden="1">1</definedName>
    <definedName name="solver_drv" localSheetId="1" hidden="1">1</definedName>
    <definedName name="solver_eng" localSheetId="5" hidden="1">2</definedName>
    <definedName name="solver_eng" localSheetId="0" hidden="1">2</definedName>
    <definedName name="solver_eng" localSheetId="4" hidden="1">2</definedName>
    <definedName name="solver_eng" localSheetId="3" hidden="1">2</definedName>
    <definedName name="solver_eng" localSheetId="2" hidden="1">2</definedName>
    <definedName name="solver_eng" localSheetId="1" hidden="1">2</definedName>
    <definedName name="solver_est" localSheetId="5" hidden="1">1</definedName>
    <definedName name="solver_est" localSheetId="0" hidden="1">1</definedName>
    <definedName name="solver_est" localSheetId="4" hidden="1">1</definedName>
    <definedName name="solver_est" localSheetId="3" hidden="1">1</definedName>
    <definedName name="solver_est" localSheetId="2" hidden="1">1</definedName>
    <definedName name="solver_est" localSheetId="1" hidden="1">1</definedName>
    <definedName name="solver_itr" localSheetId="5" hidden="1">2147483647</definedName>
    <definedName name="solver_itr" localSheetId="0" hidden="1">2147483647</definedName>
    <definedName name="solver_itr" localSheetId="4" hidden="1">2147483647</definedName>
    <definedName name="solver_itr" localSheetId="3" hidden="1">2147483647</definedName>
    <definedName name="solver_itr" localSheetId="2" hidden="1">2147483647</definedName>
    <definedName name="solver_itr" localSheetId="1" hidden="1">2147483647</definedName>
    <definedName name="solver_lhs1" localSheetId="5" hidden="1">'At most 4 of P1-P10'!$D$23:$W$23</definedName>
    <definedName name="solver_lhs1" localSheetId="0" hidden="1">'base model'!$D$29:$D$34</definedName>
    <definedName name="solver_lhs1" localSheetId="4" hidden="1">'If P3 then P4'!$D$23:$W$23</definedName>
    <definedName name="solver_lhs1" localSheetId="3" hidden="1">'P1 P2 must be together'!$D$23:$W$23</definedName>
    <definedName name="solver_lhs1" localSheetId="2" hidden="1">'P6 P7 not together'!$D$23:$W$23</definedName>
    <definedName name="solver_lhs1" localSheetId="1" hidden="1">'tolerance 0.5'!$D$23:$W$23</definedName>
    <definedName name="solver_lhs2" localSheetId="5" hidden="1">'At most 4 of P1-P10'!$D$29:$D$34</definedName>
    <definedName name="solver_lhs2" localSheetId="0" hidden="1">'base model'!$D$23:$W$23</definedName>
    <definedName name="solver_lhs2" localSheetId="4" hidden="1">'If P3 then P4'!$D$29:$D$34</definedName>
    <definedName name="solver_lhs2" localSheetId="3" hidden="1">'P1 P2 must be together'!$D$29:$D$34</definedName>
    <definedName name="solver_lhs2" localSheetId="2" hidden="1">'P6 P7 not together'!$D$29:$D$34</definedName>
    <definedName name="solver_lhs2" localSheetId="1" hidden="1">'tolerance 0.5'!$D$29:$D$34</definedName>
    <definedName name="solver_lhs3" localSheetId="5" hidden="1">'At most 4 of P1-P10'!$D$35</definedName>
    <definedName name="solver_lhs3" localSheetId="4" hidden="1">'If P3 then P4'!$D$35</definedName>
    <definedName name="solver_lhs3" localSheetId="3" hidden="1">'P1 P2 must be together'!$D$35</definedName>
    <definedName name="solver_lhs3" localSheetId="2" hidden="1">'P6 P7 not together'!$D$35</definedName>
    <definedName name="solver_lin" localSheetId="0" hidden="1">1</definedName>
    <definedName name="solver_mip" localSheetId="5" hidden="1">2147483647</definedName>
    <definedName name="solver_mip" localSheetId="0" hidden="1">2147483647</definedName>
    <definedName name="solver_mip" localSheetId="4" hidden="1">2147483647</definedName>
    <definedName name="solver_mip" localSheetId="3" hidden="1">2147483647</definedName>
    <definedName name="solver_mip" localSheetId="2" hidden="1">2147483647</definedName>
    <definedName name="solver_mip" localSheetId="1" hidden="1">2147483647</definedName>
    <definedName name="solver_mni" localSheetId="5" hidden="1">30</definedName>
    <definedName name="solver_mni" localSheetId="0" hidden="1">30</definedName>
    <definedName name="solver_mni" localSheetId="4" hidden="1">30</definedName>
    <definedName name="solver_mni" localSheetId="3" hidden="1">30</definedName>
    <definedName name="solver_mni" localSheetId="2" hidden="1">30</definedName>
    <definedName name="solver_mni" localSheetId="1" hidden="1">30</definedName>
    <definedName name="solver_mrt" localSheetId="5" hidden="1">0.075</definedName>
    <definedName name="solver_mrt" localSheetId="0" hidden="1">0.075</definedName>
    <definedName name="solver_mrt" localSheetId="4" hidden="1">0.075</definedName>
    <definedName name="solver_mrt" localSheetId="3" hidden="1">0.075</definedName>
    <definedName name="solver_mrt" localSheetId="2" hidden="1">0.075</definedName>
    <definedName name="solver_mrt" localSheetId="1" hidden="1">0.075</definedName>
    <definedName name="solver_msl" localSheetId="5" hidden="1">2</definedName>
    <definedName name="solver_msl" localSheetId="0" hidden="1">2</definedName>
    <definedName name="solver_msl" localSheetId="4" hidden="1">2</definedName>
    <definedName name="solver_msl" localSheetId="3" hidden="1">2</definedName>
    <definedName name="solver_msl" localSheetId="2" hidden="1">2</definedName>
    <definedName name="solver_msl" localSheetId="1" hidden="1">2</definedName>
    <definedName name="solver_neg" localSheetId="5" hidden="1">1</definedName>
    <definedName name="solver_neg" localSheetId="0" hidden="1">1</definedName>
    <definedName name="solver_neg" localSheetId="4" hidden="1">1</definedName>
    <definedName name="solver_neg" localSheetId="3" hidden="1">1</definedName>
    <definedName name="solver_neg" localSheetId="2" hidden="1">1</definedName>
    <definedName name="solver_neg" localSheetId="1" hidden="1">1</definedName>
    <definedName name="solver_nod" localSheetId="5" hidden="1">2147483647</definedName>
    <definedName name="solver_nod" localSheetId="0" hidden="1">2147483647</definedName>
    <definedName name="solver_nod" localSheetId="4" hidden="1">2147483647</definedName>
    <definedName name="solver_nod" localSheetId="3" hidden="1">2147483647</definedName>
    <definedName name="solver_nod" localSheetId="2" hidden="1">2147483647</definedName>
    <definedName name="solver_nod" localSheetId="1" hidden="1">2147483647</definedName>
    <definedName name="solver_num" localSheetId="5" hidden="1">3</definedName>
    <definedName name="solver_num" localSheetId="0" hidden="1">2</definedName>
    <definedName name="solver_num" localSheetId="4" hidden="1">3</definedName>
    <definedName name="solver_num" localSheetId="3" hidden="1">3</definedName>
    <definedName name="solver_num" localSheetId="2" hidden="1">3</definedName>
    <definedName name="solver_num" localSheetId="1" hidden="1">2</definedName>
    <definedName name="solver_nwt" localSheetId="5" hidden="1">1</definedName>
    <definedName name="solver_nwt" localSheetId="0" hidden="1">1</definedName>
    <definedName name="solver_nwt" localSheetId="4" hidden="1">1</definedName>
    <definedName name="solver_nwt" localSheetId="3" hidden="1">1</definedName>
    <definedName name="solver_nwt" localSheetId="2" hidden="1">1</definedName>
    <definedName name="solver_nwt" localSheetId="1" hidden="1">1</definedName>
    <definedName name="solver_opt" localSheetId="5" hidden="1">'At most 4 of P1-P10'!$D$26</definedName>
    <definedName name="solver_opt" localSheetId="0" hidden="1">'base model'!$D$26</definedName>
    <definedName name="solver_opt" localSheetId="4" hidden="1">'If P3 then P4'!$D$26</definedName>
    <definedName name="solver_opt" localSheetId="3" hidden="1">'P1 P2 must be together'!$D$26</definedName>
    <definedName name="solver_opt" localSheetId="2" hidden="1">'P6 P7 not together'!$D$26</definedName>
    <definedName name="solver_opt" localSheetId="1" hidden="1">'tolerance 0.5'!$D$26</definedName>
    <definedName name="solver_pre" localSheetId="5" hidden="1">0.000001</definedName>
    <definedName name="solver_pre" localSheetId="0" hidden="1">0.000001</definedName>
    <definedName name="solver_pre" localSheetId="4" hidden="1">0.000001</definedName>
    <definedName name="solver_pre" localSheetId="3" hidden="1">0.000001</definedName>
    <definedName name="solver_pre" localSheetId="2" hidden="1">0.000001</definedName>
    <definedName name="solver_pre" localSheetId="1" hidden="1">0.000001</definedName>
    <definedName name="solver_rbv" localSheetId="5" hidden="1">1</definedName>
    <definedName name="solver_rbv" localSheetId="0" hidden="1">1</definedName>
    <definedName name="solver_rbv" localSheetId="4" hidden="1">1</definedName>
    <definedName name="solver_rbv" localSheetId="3" hidden="1">1</definedName>
    <definedName name="solver_rbv" localSheetId="2" hidden="1">1</definedName>
    <definedName name="solver_rbv" localSheetId="1" hidden="1">1</definedName>
    <definedName name="solver_rel1" localSheetId="5" hidden="1">5</definedName>
    <definedName name="solver_rel1" localSheetId="0" hidden="1">1</definedName>
    <definedName name="solver_rel1" localSheetId="4" hidden="1">5</definedName>
    <definedName name="solver_rel1" localSheetId="3" hidden="1">5</definedName>
    <definedName name="solver_rel1" localSheetId="2" hidden="1">5</definedName>
    <definedName name="solver_rel1" localSheetId="1" hidden="1">5</definedName>
    <definedName name="solver_rel2" localSheetId="5" hidden="1">1</definedName>
    <definedName name="solver_rel2" localSheetId="0" hidden="1">5</definedName>
    <definedName name="solver_rel2" localSheetId="4" hidden="1">1</definedName>
    <definedName name="solver_rel2" localSheetId="3" hidden="1">1</definedName>
    <definedName name="solver_rel2" localSheetId="2" hidden="1">1</definedName>
    <definedName name="solver_rel2" localSheetId="1" hidden="1">1</definedName>
    <definedName name="solver_rel3" localSheetId="5" hidden="1">1</definedName>
    <definedName name="solver_rel3" localSheetId="4" hidden="1">1</definedName>
    <definedName name="solver_rel3" localSheetId="3" hidden="1">2</definedName>
    <definedName name="solver_rel3" localSheetId="2" hidden="1">1</definedName>
    <definedName name="solver_rhs1" localSheetId="5" hidden="1">binary</definedName>
    <definedName name="solver_rhs1" localSheetId="0" hidden="1">'base model'!$F$29:$F$34</definedName>
    <definedName name="solver_rhs1" localSheetId="4" hidden="1">binary</definedName>
    <definedName name="solver_rhs1" localSheetId="3" hidden="1">binary</definedName>
    <definedName name="solver_rhs1" localSheetId="2" hidden="1">binary</definedName>
    <definedName name="solver_rhs1" localSheetId="1" hidden="1">binary</definedName>
    <definedName name="solver_rhs2" localSheetId="5" hidden="1">'At most 4 of P1-P10'!$F$29:$F$34</definedName>
    <definedName name="solver_rhs2" localSheetId="0" hidden="1">"binary"</definedName>
    <definedName name="solver_rhs2" localSheetId="4" hidden="1">'If P3 then P4'!$F$29:$F$34</definedName>
    <definedName name="solver_rhs2" localSheetId="3" hidden="1">'P1 P2 must be together'!$F$29:$F$34</definedName>
    <definedName name="solver_rhs2" localSheetId="2" hidden="1">'P6 P7 not together'!$F$29:$F$34</definedName>
    <definedName name="solver_rhs2" localSheetId="1" hidden="1">'tolerance 0.5'!$F$29:$F$34</definedName>
    <definedName name="solver_rhs3" localSheetId="5" hidden="1">'At most 4 of P1-P10'!$F$35</definedName>
    <definedName name="solver_rhs3" localSheetId="4" hidden="1">'If P3 then P4'!$F$35</definedName>
    <definedName name="solver_rhs3" localSheetId="3" hidden="1">'P1 P2 must be together'!$F$35</definedName>
    <definedName name="solver_rhs3" localSheetId="2" hidden="1">'P6 P7 not together'!$F$35</definedName>
    <definedName name="solver_rlx" localSheetId="5" hidden="1">2</definedName>
    <definedName name="solver_rlx" localSheetId="0" hidden="1">2</definedName>
    <definedName name="solver_rlx" localSheetId="4" hidden="1">2</definedName>
    <definedName name="solver_rlx" localSheetId="3" hidden="1">2</definedName>
    <definedName name="solver_rlx" localSheetId="2" hidden="1">2</definedName>
    <definedName name="solver_rlx" localSheetId="1" hidden="1">2</definedName>
    <definedName name="solver_rsd" localSheetId="5" hidden="1">0</definedName>
    <definedName name="solver_rsd" localSheetId="0" hidden="1">0</definedName>
    <definedName name="solver_rsd" localSheetId="4" hidden="1">0</definedName>
    <definedName name="solver_rsd" localSheetId="3" hidden="1">0</definedName>
    <definedName name="solver_rsd" localSheetId="2" hidden="1">0</definedName>
    <definedName name="solver_rsd" localSheetId="1" hidden="1">0</definedName>
    <definedName name="solver_scl" localSheetId="5" hidden="1">1</definedName>
    <definedName name="solver_scl" localSheetId="0" hidden="1">1</definedName>
    <definedName name="solver_scl" localSheetId="4" hidden="1">1</definedName>
    <definedName name="solver_scl" localSheetId="3" hidden="1">1</definedName>
    <definedName name="solver_scl" localSheetId="2" hidden="1">1</definedName>
    <definedName name="solver_scl" localSheetId="1" hidden="1">1</definedName>
    <definedName name="solver_sho" localSheetId="5" hidden="1">2</definedName>
    <definedName name="solver_sho" localSheetId="0" hidden="1">2</definedName>
    <definedName name="solver_sho" localSheetId="4" hidden="1">2</definedName>
    <definedName name="solver_sho" localSheetId="3" hidden="1">2</definedName>
    <definedName name="solver_sho" localSheetId="2" hidden="1">2</definedName>
    <definedName name="solver_sho" localSheetId="1" hidden="1">2</definedName>
    <definedName name="solver_ssz" localSheetId="5" hidden="1">100</definedName>
    <definedName name="solver_ssz" localSheetId="0" hidden="1">100</definedName>
    <definedName name="solver_ssz" localSheetId="4" hidden="1">100</definedName>
    <definedName name="solver_ssz" localSheetId="3" hidden="1">100</definedName>
    <definedName name="solver_ssz" localSheetId="2" hidden="1">100</definedName>
    <definedName name="solver_ssz" localSheetId="1" hidden="1">100</definedName>
    <definedName name="solver_tim" localSheetId="5" hidden="1">2147483647</definedName>
    <definedName name="solver_tim" localSheetId="0" hidden="1">2147483647</definedName>
    <definedName name="solver_tim" localSheetId="4" hidden="1">2147483647</definedName>
    <definedName name="solver_tim" localSheetId="3" hidden="1">2147483647</definedName>
    <definedName name="solver_tim" localSheetId="2" hidden="1">2147483647</definedName>
    <definedName name="solver_tim" localSheetId="1" hidden="1">2147483647</definedName>
    <definedName name="solver_tol" localSheetId="5" hidden="1">0.005</definedName>
    <definedName name="solver_tol" localSheetId="0" hidden="1">0.01</definedName>
    <definedName name="solver_tol" localSheetId="4" hidden="1">0.005</definedName>
    <definedName name="solver_tol" localSheetId="3" hidden="1">0.005</definedName>
    <definedName name="solver_tol" localSheetId="2" hidden="1">0.005</definedName>
    <definedName name="solver_tol" localSheetId="1" hidden="1">0.005</definedName>
    <definedName name="solver_typ" localSheetId="5" hidden="1">1</definedName>
    <definedName name="solver_typ" localSheetId="0" hidden="1">1</definedName>
    <definedName name="solver_typ" localSheetId="4" hidden="1">1</definedName>
    <definedName name="solver_typ" localSheetId="3" hidden="1">1</definedName>
    <definedName name="solver_typ" localSheetId="2" hidden="1">1</definedName>
    <definedName name="solver_typ" localSheetId="1" hidden="1">1</definedName>
    <definedName name="solver_val" localSheetId="5" hidden="1">0</definedName>
    <definedName name="solver_val" localSheetId="0" hidden="1">0</definedName>
    <definedName name="solver_val" localSheetId="4" hidden="1">0</definedName>
    <definedName name="solver_val" localSheetId="3" hidden="1">0</definedName>
    <definedName name="solver_val" localSheetId="2" hidden="1">0</definedName>
    <definedName name="solver_val" localSheetId="1" hidden="1">0</definedName>
    <definedName name="solver_ver" localSheetId="5" hidden="1">3</definedName>
    <definedName name="solver_ver" localSheetId="0" hidden="1">2</definedName>
    <definedName name="solver_ver" localSheetId="4" hidden="1">3</definedName>
    <definedName name="solver_ver" localSheetId="3" hidden="1">3</definedName>
    <definedName name="solver_ver" localSheetId="2" hidden="1">3</definedName>
    <definedName name="solver_ver" localSheetId="1" hidden="1">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8" l="1"/>
  <c r="D35" i="8"/>
  <c r="F34" i="8"/>
  <c r="D34" i="8"/>
  <c r="F33" i="8"/>
  <c r="D33" i="8"/>
  <c r="F32" i="8"/>
  <c r="D32" i="8"/>
  <c r="F31" i="8"/>
  <c r="D31" i="8"/>
  <c r="F30" i="8"/>
  <c r="D30" i="8"/>
  <c r="F29" i="8"/>
  <c r="D29" i="8"/>
  <c r="D26" i="8"/>
  <c r="F35" i="7"/>
  <c r="D35" i="7"/>
  <c r="F34" i="7"/>
  <c r="D34" i="7"/>
  <c r="F33" i="7"/>
  <c r="D33" i="7"/>
  <c r="F32" i="7"/>
  <c r="D32" i="7"/>
  <c r="F31" i="7"/>
  <c r="D31" i="7"/>
  <c r="F30" i="7"/>
  <c r="D30" i="7"/>
  <c r="F29" i="7"/>
  <c r="D29" i="7"/>
  <c r="D26" i="7"/>
  <c r="D35" i="6"/>
  <c r="D35" i="5"/>
  <c r="F34" i="6"/>
  <c r="D34" i="6"/>
  <c r="F33" i="6"/>
  <c r="D33" i="6"/>
  <c r="F32" i="6"/>
  <c r="D32" i="6"/>
  <c r="F31" i="6"/>
  <c r="D31" i="6"/>
  <c r="F30" i="6"/>
  <c r="D30" i="6"/>
  <c r="F29" i="6"/>
  <c r="D29" i="6"/>
  <c r="D26" i="6"/>
  <c r="F34" i="5"/>
  <c r="D34" i="5"/>
  <c r="F33" i="5"/>
  <c r="D33" i="5"/>
  <c r="F32" i="5"/>
  <c r="D32" i="5"/>
  <c r="F31" i="5"/>
  <c r="D31" i="5"/>
  <c r="F30" i="5"/>
  <c r="D30" i="5"/>
  <c r="F29" i="5"/>
  <c r="D29" i="5"/>
  <c r="D26" i="5"/>
  <c r="F34" i="4"/>
  <c r="D34" i="4"/>
  <c r="F33" i="4"/>
  <c r="D33" i="4"/>
  <c r="F32" i="4"/>
  <c r="D32" i="4"/>
  <c r="F31" i="4"/>
  <c r="D31" i="4"/>
  <c r="F30" i="4"/>
  <c r="D30" i="4"/>
  <c r="F29" i="4"/>
  <c r="D29" i="4"/>
  <c r="D26" i="4"/>
  <c r="F30" i="1"/>
  <c r="F31" i="1"/>
  <c r="F32" i="1"/>
  <c r="F33" i="1"/>
  <c r="F34" i="1"/>
  <c r="F29" i="1"/>
  <c r="D30" i="1"/>
  <c r="D31" i="1"/>
  <c r="D32" i="1"/>
  <c r="D33" i="1"/>
  <c r="D34" i="1"/>
  <c r="D29" i="1"/>
  <c r="D26" i="1"/>
</calcChain>
</file>

<file path=xl/sharedStrings.xml><?xml version="1.0" encoding="utf-8"?>
<sst xmlns="http://schemas.openxmlformats.org/spreadsheetml/2006/main" count="470" uniqueCount="46">
  <si>
    <t>CAPITAL BUDGETING, MGT550F</t>
  </si>
  <si>
    <t>PARAMETER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</si>
  <si>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</si>
  <si>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</si>
  <si>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</si>
  <si>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</si>
  <si>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</si>
  <si>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</si>
  <si>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</si>
  <si>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</si>
  <si>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</si>
  <si>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</si>
  <si>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</si>
  <si>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</si>
  <si>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</si>
  <si>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</si>
  <si>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</si>
  <si>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</si>
  <si>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</si>
  <si>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</si>
  <si>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Project 19</t>
  </si>
  <si>
    <t>Project 20</t>
  </si>
  <si>
    <t>NPV</t>
  </si>
  <si>
    <t>Cost Year 1</t>
  </si>
  <si>
    <t>Cost Year 2</t>
  </si>
  <si>
    <t>Cost Year 3</t>
  </si>
  <si>
    <t>Labor Year 1</t>
  </si>
  <si>
    <t>Labor Year 2</t>
  </si>
  <si>
    <t>Labor Year 3</t>
  </si>
  <si>
    <t>DECISION</t>
  </si>
  <si>
    <t>NPV of selected projects</t>
  </si>
  <si>
    <t>OBJECTIVE</t>
  </si>
  <si>
    <t>Constraints</t>
  </si>
  <si>
    <t>Budget</t>
  </si>
  <si>
    <t>LHS</t>
  </si>
  <si>
    <t>RHS</t>
  </si>
  <si>
    <t>Budget Available</t>
  </si>
  <si>
    <t>Projects</t>
  </si>
  <si>
    <t>&lt;=</t>
  </si>
  <si>
    <t>P6 and P7 not together</t>
  </si>
  <si>
    <t>At most 4 among P1-P10</t>
  </si>
  <si>
    <t>P1 and P2 must be together'</t>
  </si>
  <si>
    <t>If P3 then P4</t>
  </si>
  <si>
    <t>=</t>
  </si>
  <si>
    <t>Sponsor it?</t>
  </si>
  <si>
    <t>CAPITAL BUDGETING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</si>
</sst>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theme="8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1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5" fillId="0" borderId="4" xfId="0" applyFont="1" applyBorder="1"/>
    <xf numFmtId="0" fontId="5" fillId="0" borderId="9" xfId="0" applyFont="1" applyBorder="1" applyAlignment="1">
      <alignment wrapText="1"/>
    </xf>
    <xf numFmtId="0" fontId="6" fillId="0" borderId="10" xfId="0" applyFont="1" applyBorder="1"/>
    <xf numFmtId="0" fontId="0" fillId="0" borderId="5" xfId="0" applyBorder="1"/>
    <xf numFmtId="0" fontId="7" fillId="0" borderId="0" xfId="1" applyFont="1"/>
    <xf numFmtId="0" fontId="7" fillId="0" borderId="5" xfId="1" applyFont="1" applyBorder="1"/>
    <xf numFmtId="0" fontId="7" fillId="0" borderId="7" xfId="1" applyFont="1" applyBorder="1"/>
    <xf numFmtId="0" fontId="7" fillId="0" borderId="8" xfId="1" applyFont="1" applyBorder="1"/>
    <xf numFmtId="0" fontId="8" fillId="0" borderId="1" xfId="1" applyFont="1" applyBorder="1"/>
    <xf numFmtId="0" fontId="8" fillId="0" borderId="2" xfId="1" applyFont="1" applyBorder="1"/>
    <xf numFmtId="0" fontId="7" fillId="0" borderId="3" xfId="1" applyFont="1" applyBorder="1"/>
    <xf numFmtId="0" fontId="9" fillId="0" borderId="4" xfId="1" applyFont="1" applyBorder="1"/>
    <xf numFmtId="0" fontId="9" fillId="0" borderId="6" xfId="1" applyFont="1" applyBorder="1"/>
    <xf numFmtId="0" fontId="10" fillId="0" borderId="0" xfId="1" applyFont="1"/>
    <xf numFmtId="0" fontId="8" fillId="0" borderId="3" xfId="1" applyFont="1" applyBorder="1"/>
    <xf numFmtId="0" fontId="0" fillId="0" borderId="0" xfId="0" applyAlignment="1">
      <alignment wrapText="1"/>
    </xf>
    <xf numFmtId="0" fontId="9" fillId="0" borderId="1" xfId="1" applyFont="1" applyBorder="1"/>
    <xf numFmtId="0" fontId="0" fillId="0" borderId="1" xfId="0" applyBorder="1"/>
    <xf numFmtId="0" fontId="4" fillId="0" borderId="2" xfId="0" applyFont="1" applyBorder="1"/>
    <xf numFmtId="0" fontId="4" fillId="0" borderId="3" xfId="0" applyFont="1" applyBorder="1"/>
    <xf numFmtId="0" fontId="0" fillId="0" borderId="7" xfId="0" applyBorder="1"/>
    <xf numFmtId="0" fontId="0" fillId="0" borderId="8" xfId="0" applyBorder="1"/>
    <xf numFmtId="0" fontId="11" fillId="0" borderId="4" xfId="1" applyFont="1" applyBorder="1"/>
    <xf numFmtId="0" fontId="12" fillId="0" borderId="0" xfId="0" applyFont="1"/>
    <xf numFmtId="0" fontId="11" fillId="0" borderId="6" xfId="1" applyFont="1" applyBorder="1"/>
    <xf numFmtId="0" fontId="12" fillId="0" borderId="7" xfId="0" applyFont="1" applyBorder="1"/>
    <xf numFmtId="0" fontId="12" fillId="0" borderId="8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tabSelected="1" zoomScale="140" zoomScaleNormal="140" workbookViewId="0">
      <selection activeCell="D23" sqref="D23:W23"/>
    </sheetView>
  </sheetViews>
  <sheetFormatPr baseColWidth="10" defaultColWidth="8.83203125" defaultRowHeight="15" x14ac:dyDescent="0.2"/>
  <cols>
    <col min="1" max="1" width="12.1640625" customWidth="1"/>
    <col min="2" max="2" width="10.5" customWidth="1"/>
    <col min="3" max="3" width="12.1640625" bestFit="1" customWidth="1"/>
    <col min="4" max="12" width="8.83203125" bestFit="1" customWidth="1"/>
    <col min="13" max="23" width="9.83203125" bestFit="1" customWidth="1"/>
  </cols>
  <sheetData>
    <row r="1" spans="1:23" x14ac:dyDescent="0.2">
      <c r="A1" s="1" t="s">
        <v>45</v>
      </c>
    </row>
    <row r="3" spans="1:23" x14ac:dyDescent="0.2">
      <c r="A3" s="1" t="s">
        <v>1</v>
      </c>
      <c r="B3" s="1"/>
    </row>
    <row r="4" spans="1:23" x14ac:dyDescent="0.2">
      <c r="B4" t="s">
        <v>37</v>
      </c>
      <c r="C4" s="13"/>
      <c r="D4" s="14" t="s">
        <v>2</v>
      </c>
      <c r="E4" s="14" t="s">
        <v>3</v>
      </c>
      <c r="F4" s="14" t="s">
        <v>4</v>
      </c>
      <c r="G4" s="14" t="s">
        <v>5</v>
      </c>
      <c r="H4" s="14" t="s">
        <v>6</v>
      </c>
      <c r="I4" s="14" t="s">
        <v>7</v>
      </c>
      <c r="J4" s="14" t="s">
        <v>8</v>
      </c>
      <c r="K4" s="14" t="s">
        <v>9</v>
      </c>
      <c r="L4" s="14" t="s">
        <v>10</v>
      </c>
      <c r="M4" s="14" t="s">
        <v>11</v>
      </c>
      <c r="N4" s="14" t="s">
        <v>12</v>
      </c>
      <c r="O4" s="14" t="s">
        <v>13</v>
      </c>
      <c r="P4" s="14" t="s">
        <v>14</v>
      </c>
      <c r="Q4" s="14" t="s">
        <v>15</v>
      </c>
      <c r="R4" s="14" t="s">
        <v>16</v>
      </c>
      <c r="S4" s="14" t="s">
        <v>17</v>
      </c>
      <c r="T4" s="14" t="s">
        <v>18</v>
      </c>
      <c r="U4" s="14" t="s">
        <v>19</v>
      </c>
      <c r="V4" s="14" t="s">
        <v>20</v>
      </c>
      <c r="W4" s="15" t="s">
        <v>21</v>
      </c>
    </row>
    <row r="5" spans="1:23" x14ac:dyDescent="0.2">
      <c r="C5" s="16" t="s">
        <v>22</v>
      </c>
      <c r="D5" s="9">
        <v>928</v>
      </c>
      <c r="E5" s="9">
        <v>908</v>
      </c>
      <c r="F5" s="9">
        <v>801</v>
      </c>
      <c r="G5" s="9">
        <v>543</v>
      </c>
      <c r="H5" s="9">
        <v>944</v>
      </c>
      <c r="I5" s="9">
        <v>848</v>
      </c>
      <c r="J5" s="9">
        <v>545</v>
      </c>
      <c r="K5" s="9">
        <v>808</v>
      </c>
      <c r="L5" s="9">
        <v>638</v>
      </c>
      <c r="M5" s="9">
        <v>841</v>
      </c>
      <c r="N5" s="9">
        <v>664</v>
      </c>
      <c r="O5" s="9">
        <v>546</v>
      </c>
      <c r="P5" s="9">
        <v>699</v>
      </c>
      <c r="Q5" s="9">
        <v>599</v>
      </c>
      <c r="R5" s="9">
        <v>903</v>
      </c>
      <c r="S5" s="9">
        <v>859</v>
      </c>
      <c r="T5" s="9">
        <v>748</v>
      </c>
      <c r="U5" s="9">
        <v>668</v>
      </c>
      <c r="V5" s="9">
        <v>888</v>
      </c>
      <c r="W5" s="10">
        <v>655</v>
      </c>
    </row>
    <row r="6" spans="1:23" x14ac:dyDescent="0.2">
      <c r="C6" s="5"/>
      <c r="W6" s="8"/>
    </row>
    <row r="7" spans="1:23" x14ac:dyDescent="0.2">
      <c r="C7" s="16" t="s">
        <v>23</v>
      </c>
      <c r="D7" s="9">
        <v>398</v>
      </c>
      <c r="E7" s="9">
        <v>151</v>
      </c>
      <c r="F7" s="9">
        <v>129</v>
      </c>
      <c r="G7" s="9">
        <v>275</v>
      </c>
      <c r="H7" s="9">
        <v>291</v>
      </c>
      <c r="I7" s="9">
        <v>80</v>
      </c>
      <c r="J7" s="9">
        <v>203</v>
      </c>
      <c r="K7" s="9">
        <v>150</v>
      </c>
      <c r="L7" s="9">
        <v>282</v>
      </c>
      <c r="M7" s="9">
        <v>214</v>
      </c>
      <c r="N7" s="9">
        <v>224</v>
      </c>
      <c r="O7" s="9">
        <v>225</v>
      </c>
      <c r="P7" s="9">
        <v>101</v>
      </c>
      <c r="Q7" s="9">
        <v>255</v>
      </c>
      <c r="R7" s="9">
        <v>228</v>
      </c>
      <c r="S7" s="9">
        <v>303</v>
      </c>
      <c r="T7" s="9">
        <v>133</v>
      </c>
      <c r="U7" s="9">
        <v>197</v>
      </c>
      <c r="V7" s="9">
        <v>313</v>
      </c>
      <c r="W7" s="10">
        <v>152</v>
      </c>
    </row>
    <row r="8" spans="1:23" x14ac:dyDescent="0.2">
      <c r="C8" s="16" t="s">
        <v>24</v>
      </c>
      <c r="D8" s="9">
        <v>180</v>
      </c>
      <c r="E8" s="9">
        <v>269</v>
      </c>
      <c r="F8" s="9">
        <v>189</v>
      </c>
      <c r="G8" s="9">
        <v>218</v>
      </c>
      <c r="H8" s="9">
        <v>252</v>
      </c>
      <c r="I8" s="9">
        <v>283</v>
      </c>
      <c r="J8" s="9">
        <v>220</v>
      </c>
      <c r="K8" s="9">
        <v>113</v>
      </c>
      <c r="L8" s="9">
        <v>141</v>
      </c>
      <c r="M8" s="9">
        <v>254</v>
      </c>
      <c r="N8" s="9">
        <v>271</v>
      </c>
      <c r="O8" s="9">
        <v>150</v>
      </c>
      <c r="P8" s="9">
        <v>218</v>
      </c>
      <c r="Q8" s="9">
        <v>202</v>
      </c>
      <c r="R8" s="9">
        <v>351</v>
      </c>
      <c r="S8" s="9">
        <v>173</v>
      </c>
      <c r="T8" s="9">
        <v>427</v>
      </c>
      <c r="U8" s="9">
        <v>98</v>
      </c>
      <c r="V8" s="9">
        <v>278</v>
      </c>
      <c r="W8" s="10">
        <v>211</v>
      </c>
    </row>
    <row r="9" spans="1:23" x14ac:dyDescent="0.2">
      <c r="C9" s="16" t="s">
        <v>25</v>
      </c>
      <c r="D9" s="9">
        <v>368</v>
      </c>
      <c r="E9" s="9">
        <v>248</v>
      </c>
      <c r="F9" s="9">
        <v>308</v>
      </c>
      <c r="G9" s="9">
        <v>220</v>
      </c>
      <c r="H9" s="9">
        <v>228</v>
      </c>
      <c r="I9" s="9">
        <v>285</v>
      </c>
      <c r="J9" s="9">
        <v>77</v>
      </c>
      <c r="K9" s="9">
        <v>143</v>
      </c>
      <c r="L9" s="9">
        <v>160</v>
      </c>
      <c r="M9" s="9">
        <v>355</v>
      </c>
      <c r="N9" s="9">
        <v>130</v>
      </c>
      <c r="O9" s="9">
        <v>33</v>
      </c>
      <c r="P9" s="9">
        <v>272</v>
      </c>
      <c r="Q9" s="9">
        <v>70</v>
      </c>
      <c r="R9" s="9">
        <v>240</v>
      </c>
      <c r="S9" s="9">
        <v>431</v>
      </c>
      <c r="T9" s="9">
        <v>220</v>
      </c>
      <c r="U9" s="9">
        <v>214</v>
      </c>
      <c r="V9" s="9">
        <v>291</v>
      </c>
      <c r="W9" s="10">
        <v>134</v>
      </c>
    </row>
    <row r="10" spans="1:23" x14ac:dyDescent="0.2">
      <c r="C10" s="16" t="s">
        <v>26</v>
      </c>
      <c r="D10" s="9">
        <v>111</v>
      </c>
      <c r="E10" s="9">
        <v>139</v>
      </c>
      <c r="F10" s="9">
        <v>56</v>
      </c>
      <c r="G10" s="9">
        <v>54</v>
      </c>
      <c r="H10" s="9">
        <v>123</v>
      </c>
      <c r="I10" s="9">
        <v>119</v>
      </c>
      <c r="J10" s="9">
        <v>54</v>
      </c>
      <c r="K10" s="9">
        <v>67</v>
      </c>
      <c r="L10" s="9">
        <v>37</v>
      </c>
      <c r="M10" s="9">
        <v>130</v>
      </c>
      <c r="N10" s="9">
        <v>51</v>
      </c>
      <c r="O10" s="9">
        <v>35</v>
      </c>
      <c r="P10" s="9">
        <v>43</v>
      </c>
      <c r="Q10" s="9">
        <v>3</v>
      </c>
      <c r="R10" s="9">
        <v>60</v>
      </c>
      <c r="S10" s="9">
        <v>60</v>
      </c>
      <c r="T10" s="9">
        <v>59</v>
      </c>
      <c r="U10" s="9">
        <v>95</v>
      </c>
      <c r="V10" s="9">
        <v>66</v>
      </c>
      <c r="W10" s="10">
        <v>85</v>
      </c>
    </row>
    <row r="11" spans="1:23" x14ac:dyDescent="0.2">
      <c r="C11" s="16" t="s">
        <v>27</v>
      </c>
      <c r="D11" s="9">
        <v>108</v>
      </c>
      <c r="E11" s="9">
        <v>86</v>
      </c>
      <c r="F11" s="9">
        <v>61</v>
      </c>
      <c r="G11" s="9">
        <v>70</v>
      </c>
      <c r="H11" s="9">
        <v>141</v>
      </c>
      <c r="I11" s="9">
        <v>84</v>
      </c>
      <c r="J11" s="9">
        <v>44</v>
      </c>
      <c r="K11" s="9">
        <v>101</v>
      </c>
      <c r="L11" s="9">
        <v>55</v>
      </c>
      <c r="M11" s="9">
        <v>72</v>
      </c>
      <c r="N11" s="9">
        <v>79</v>
      </c>
      <c r="O11" s="9">
        <v>107</v>
      </c>
      <c r="P11" s="9">
        <v>90</v>
      </c>
      <c r="Q11" s="9">
        <v>75</v>
      </c>
      <c r="R11" s="9">
        <v>93</v>
      </c>
      <c r="S11" s="9">
        <v>90</v>
      </c>
      <c r="T11" s="9">
        <v>40</v>
      </c>
      <c r="U11" s="9">
        <v>96</v>
      </c>
      <c r="V11" s="9">
        <v>75</v>
      </c>
      <c r="W11" s="10">
        <v>59</v>
      </c>
    </row>
    <row r="12" spans="1:23" x14ac:dyDescent="0.2">
      <c r="C12" s="17" t="s">
        <v>28</v>
      </c>
      <c r="D12" s="11">
        <v>123</v>
      </c>
      <c r="E12" s="11">
        <v>83</v>
      </c>
      <c r="F12" s="11">
        <v>23</v>
      </c>
      <c r="G12" s="11">
        <v>59</v>
      </c>
      <c r="H12" s="11">
        <v>70</v>
      </c>
      <c r="I12" s="11">
        <v>37</v>
      </c>
      <c r="J12" s="11">
        <v>42</v>
      </c>
      <c r="K12" s="11">
        <v>43</v>
      </c>
      <c r="L12" s="11">
        <v>64</v>
      </c>
      <c r="M12" s="11">
        <v>62</v>
      </c>
      <c r="N12" s="11">
        <v>58</v>
      </c>
      <c r="O12" s="11">
        <v>63</v>
      </c>
      <c r="P12" s="11">
        <v>71</v>
      </c>
      <c r="Q12" s="11">
        <v>83</v>
      </c>
      <c r="R12" s="11">
        <v>80</v>
      </c>
      <c r="S12" s="11">
        <v>41</v>
      </c>
      <c r="T12" s="11">
        <v>39</v>
      </c>
      <c r="U12" s="11">
        <v>74</v>
      </c>
      <c r="V12" s="11">
        <v>74</v>
      </c>
      <c r="W12" s="12">
        <v>70</v>
      </c>
    </row>
    <row r="14" spans="1:23" ht="32" x14ac:dyDescent="0.2">
      <c r="B14" s="20" t="s">
        <v>36</v>
      </c>
      <c r="C14" s="21" t="s">
        <v>23</v>
      </c>
      <c r="D14" s="15">
        <v>2500</v>
      </c>
    </row>
    <row r="15" spans="1:23" x14ac:dyDescent="0.2">
      <c r="C15" s="16" t="s">
        <v>24</v>
      </c>
      <c r="D15" s="10">
        <v>2800</v>
      </c>
    </row>
    <row r="16" spans="1:23" x14ac:dyDescent="0.2">
      <c r="C16" s="16" t="s">
        <v>25</v>
      </c>
      <c r="D16" s="10">
        <v>2900</v>
      </c>
    </row>
    <row r="17" spans="1:23" x14ac:dyDescent="0.2">
      <c r="C17" s="16" t="s">
        <v>26</v>
      </c>
      <c r="D17" s="10">
        <v>900</v>
      </c>
    </row>
    <row r="18" spans="1:23" x14ac:dyDescent="0.2">
      <c r="C18" s="16" t="s">
        <v>27</v>
      </c>
      <c r="D18" s="10">
        <v>900</v>
      </c>
    </row>
    <row r="19" spans="1:23" x14ac:dyDescent="0.2">
      <c r="C19" s="17" t="s">
        <v>28</v>
      </c>
      <c r="D19" s="12">
        <v>900</v>
      </c>
    </row>
    <row r="22" spans="1:23" x14ac:dyDescent="0.2">
      <c r="A22" s="1" t="s">
        <v>29</v>
      </c>
      <c r="C22" s="18" t="s">
        <v>44</v>
      </c>
      <c r="D22" s="13" t="s">
        <v>2</v>
      </c>
      <c r="E22" s="14" t="s">
        <v>3</v>
      </c>
      <c r="F22" s="14" t="s">
        <v>4</v>
      </c>
      <c r="G22" s="14" t="s">
        <v>5</v>
      </c>
      <c r="H22" s="14" t="s">
        <v>6</v>
      </c>
      <c r="I22" s="14" t="s">
        <v>7</v>
      </c>
      <c r="J22" s="14" t="s">
        <v>8</v>
      </c>
      <c r="K22" s="14" t="s">
        <v>9</v>
      </c>
      <c r="L22" s="14" t="s">
        <v>10</v>
      </c>
      <c r="M22" s="14" t="s">
        <v>11</v>
      </c>
      <c r="N22" s="14" t="s">
        <v>12</v>
      </c>
      <c r="O22" s="14" t="s">
        <v>13</v>
      </c>
      <c r="P22" s="14" t="s">
        <v>14</v>
      </c>
      <c r="Q22" s="14" t="s">
        <v>15</v>
      </c>
      <c r="R22" s="14" t="s">
        <v>16</v>
      </c>
      <c r="S22" s="14" t="s">
        <v>17</v>
      </c>
      <c r="T22" s="14" t="s">
        <v>18</v>
      </c>
      <c r="U22" s="14" t="s">
        <v>19</v>
      </c>
      <c r="V22" s="14" t="s">
        <v>20</v>
      </c>
      <c r="W22" s="19" t="s">
        <v>21</v>
      </c>
    </row>
    <row r="23" spans="1:23" x14ac:dyDescent="0.2">
      <c r="A23" s="1"/>
      <c r="D23" s="2">
        <v>0</v>
      </c>
      <c r="E23" s="3">
        <v>1</v>
      </c>
      <c r="F23" s="3">
        <v>1</v>
      </c>
      <c r="G23" s="3">
        <v>0</v>
      </c>
      <c r="H23" s="3">
        <v>0</v>
      </c>
      <c r="I23" s="3">
        <v>1</v>
      </c>
      <c r="J23" s="3">
        <v>1</v>
      </c>
      <c r="K23" s="3">
        <v>1</v>
      </c>
      <c r="L23" s="3">
        <v>1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4">
        <v>1</v>
      </c>
    </row>
    <row r="24" spans="1:23" x14ac:dyDescent="0.2">
      <c r="A24" s="1"/>
    </row>
    <row r="25" spans="1:23" x14ac:dyDescent="0.2">
      <c r="A25" s="1" t="s">
        <v>31</v>
      </c>
    </row>
    <row r="26" spans="1:23" ht="48" x14ac:dyDescent="0.2">
      <c r="A26" s="1"/>
      <c r="C26" s="6" t="s">
        <v>30</v>
      </c>
      <c r="D26" s="7">
        <f>SUMPRODUCT(D23:W23,D5:W5)</f>
        <v>9269</v>
      </c>
    </row>
    <row r="27" spans="1:23" x14ac:dyDescent="0.2">
      <c r="A27" s="1"/>
    </row>
    <row r="28" spans="1:23" x14ac:dyDescent="0.2">
      <c r="A28" s="1" t="s">
        <v>32</v>
      </c>
      <c r="C28" s="22" t="s">
        <v>33</v>
      </c>
      <c r="D28" s="23" t="s">
        <v>34</v>
      </c>
      <c r="E28" s="23"/>
      <c r="F28" s="24" t="s">
        <v>35</v>
      </c>
    </row>
    <row r="29" spans="1:23" x14ac:dyDescent="0.2">
      <c r="B29" s="1"/>
      <c r="C29" s="16" t="s">
        <v>23</v>
      </c>
      <c r="D29">
        <f>SUMPRODUCT(D7:W7,$D$23:$W$23)</f>
        <v>2321</v>
      </c>
      <c r="E29" t="s">
        <v>38</v>
      </c>
      <c r="F29" s="8">
        <f>D14</f>
        <v>2500</v>
      </c>
    </row>
    <row r="30" spans="1:23" x14ac:dyDescent="0.2">
      <c r="B30" s="1"/>
      <c r="C30" s="16" t="s">
        <v>24</v>
      </c>
      <c r="D30">
        <f t="shared" ref="D30:D34" si="0">SUMPRODUCT(D8:W8,$D$23:$W$23)</f>
        <v>2753</v>
      </c>
      <c r="E30" t="s">
        <v>38</v>
      </c>
      <c r="F30" s="8">
        <f t="shared" ref="F30:F34" si="1">D15</f>
        <v>2800</v>
      </c>
    </row>
    <row r="31" spans="1:23" x14ac:dyDescent="0.2">
      <c r="B31" s="1"/>
      <c r="C31" s="16" t="s">
        <v>25</v>
      </c>
      <c r="D31">
        <f t="shared" si="0"/>
        <v>2751</v>
      </c>
      <c r="E31" t="s">
        <v>38</v>
      </c>
      <c r="F31" s="8">
        <f t="shared" si="1"/>
        <v>2900</v>
      </c>
    </row>
    <row r="32" spans="1:23" x14ac:dyDescent="0.2">
      <c r="B32" s="1"/>
      <c r="C32" s="16" t="s">
        <v>26</v>
      </c>
      <c r="D32">
        <f t="shared" si="0"/>
        <v>897</v>
      </c>
      <c r="E32" t="s">
        <v>38</v>
      </c>
      <c r="F32" s="8">
        <f t="shared" si="1"/>
        <v>900</v>
      </c>
    </row>
    <row r="33" spans="3:6" x14ac:dyDescent="0.2">
      <c r="C33" s="16" t="s">
        <v>27</v>
      </c>
      <c r="D33">
        <f t="shared" si="0"/>
        <v>884</v>
      </c>
      <c r="E33" t="s">
        <v>38</v>
      </c>
      <c r="F33" s="8">
        <f t="shared" si="1"/>
        <v>900</v>
      </c>
    </row>
    <row r="34" spans="3:6" x14ac:dyDescent="0.2">
      <c r="C34" s="17" t="s">
        <v>28</v>
      </c>
      <c r="D34" s="25">
        <f t="shared" si="0"/>
        <v>670</v>
      </c>
      <c r="E34" s="25" t="s">
        <v>38</v>
      </c>
      <c r="F34" s="26">
        <f t="shared" si="1"/>
        <v>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4"/>
  <sheetViews>
    <sheetView workbookViewId="0">
      <selection activeCell="C22" sqref="C22"/>
    </sheetView>
  </sheetViews>
  <sheetFormatPr baseColWidth="10" defaultColWidth="8.83203125" defaultRowHeight="15" x14ac:dyDescent="0.2"/>
  <cols>
    <col min="1" max="1" width="12.1640625" customWidth="1"/>
    <col min="2" max="2" width="10.5" customWidth="1"/>
    <col min="3" max="3" width="12.1640625" bestFit="1" customWidth="1"/>
    <col min="4" max="12" width="8.83203125" bestFit="1" customWidth="1"/>
    <col min="13" max="23" width="9.83203125" bestFit="1" customWidth="1"/>
  </cols>
  <sheetData>
    <row r="1" spans="1:23" x14ac:dyDescent="0.2">
      <c r="A1" s="1" t="s">
        <v>45</v>
      </c>
    </row>
    <row r="3" spans="1:23" x14ac:dyDescent="0.2">
      <c r="A3" s="1" t="s">
        <v>1</v>
      </c>
      <c r="B3" s="1"/>
    </row>
    <row r="4" spans="1:23" x14ac:dyDescent="0.2">
      <c r="B4" t="s">
        <v>37</v>
      </c>
      <c r="C4" s="13"/>
      <c r="D4" s="14" t="s">
        <v>2</v>
      </c>
      <c r="E4" s="14" t="s">
        <v>3</v>
      </c>
      <c r="F4" s="14" t="s">
        <v>4</v>
      </c>
      <c r="G4" s="14" t="s">
        <v>5</v>
      </c>
      <c r="H4" s="14" t="s">
        <v>6</v>
      </c>
      <c r="I4" s="14" t="s">
        <v>7</v>
      </c>
      <c r="J4" s="14" t="s">
        <v>8</v>
      </c>
      <c r="K4" s="14" t="s">
        <v>9</v>
      </c>
      <c r="L4" s="14" t="s">
        <v>10</v>
      </c>
      <c r="M4" s="14" t="s">
        <v>11</v>
      </c>
      <c r="N4" s="14" t="s">
        <v>12</v>
      </c>
      <c r="O4" s="14" t="s">
        <v>13</v>
      </c>
      <c r="P4" s="14" t="s">
        <v>14</v>
      </c>
      <c r="Q4" s="14" t="s">
        <v>15</v>
      </c>
      <c r="R4" s="14" t="s">
        <v>16</v>
      </c>
      <c r="S4" s="14" t="s">
        <v>17</v>
      </c>
      <c r="T4" s="14" t="s">
        <v>18</v>
      </c>
      <c r="U4" s="14" t="s">
        <v>19</v>
      </c>
      <c r="V4" s="14" t="s">
        <v>20</v>
      </c>
      <c r="W4" s="15" t="s">
        <v>21</v>
      </c>
    </row>
    <row r="5" spans="1:23" x14ac:dyDescent="0.2">
      <c r="C5" s="16" t="s">
        <v>22</v>
      </c>
      <c r="D5" s="9">
        <v>928</v>
      </c>
      <c r="E5" s="9">
        <v>908</v>
      </c>
      <c r="F5" s="9">
        <v>801</v>
      </c>
      <c r="G5" s="9">
        <v>543</v>
      </c>
      <c r="H5" s="9">
        <v>944</v>
      </c>
      <c r="I5" s="9">
        <v>848</v>
      </c>
      <c r="J5" s="9">
        <v>545</v>
      </c>
      <c r="K5" s="9">
        <v>808</v>
      </c>
      <c r="L5" s="9">
        <v>638</v>
      </c>
      <c r="M5" s="9">
        <v>841</v>
      </c>
      <c r="N5" s="9">
        <v>664</v>
      </c>
      <c r="O5" s="9">
        <v>546</v>
      </c>
      <c r="P5" s="9">
        <v>699</v>
      </c>
      <c r="Q5" s="9">
        <v>599</v>
      </c>
      <c r="R5" s="9">
        <v>903</v>
      </c>
      <c r="S5" s="9">
        <v>859</v>
      </c>
      <c r="T5" s="9">
        <v>748</v>
      </c>
      <c r="U5" s="9">
        <v>668</v>
      </c>
      <c r="V5" s="9">
        <v>888</v>
      </c>
      <c r="W5" s="10">
        <v>655</v>
      </c>
    </row>
    <row r="6" spans="1:23" x14ac:dyDescent="0.2">
      <c r="C6" s="5"/>
      <c r="W6" s="8"/>
    </row>
    <row r="7" spans="1:23" x14ac:dyDescent="0.2">
      <c r="C7" s="16" t="s">
        <v>23</v>
      </c>
      <c r="D7" s="9">
        <v>398</v>
      </c>
      <c r="E7" s="9">
        <v>151</v>
      </c>
      <c r="F7" s="9">
        <v>129</v>
      </c>
      <c r="G7" s="9">
        <v>275</v>
      </c>
      <c r="H7" s="9">
        <v>291</v>
      </c>
      <c r="I7" s="9">
        <v>80</v>
      </c>
      <c r="J7" s="9">
        <v>203</v>
      </c>
      <c r="K7" s="9">
        <v>150</v>
      </c>
      <c r="L7" s="9">
        <v>282</v>
      </c>
      <c r="M7" s="9">
        <v>214</v>
      </c>
      <c r="N7" s="9">
        <v>224</v>
      </c>
      <c r="O7" s="9">
        <v>225</v>
      </c>
      <c r="P7" s="9">
        <v>101</v>
      </c>
      <c r="Q7" s="9">
        <v>255</v>
      </c>
      <c r="R7" s="9">
        <v>228</v>
      </c>
      <c r="S7" s="9">
        <v>303</v>
      </c>
      <c r="T7" s="9">
        <v>133</v>
      </c>
      <c r="U7" s="9">
        <v>197</v>
      </c>
      <c r="V7" s="9">
        <v>313</v>
      </c>
      <c r="W7" s="10">
        <v>152</v>
      </c>
    </row>
    <row r="8" spans="1:23" x14ac:dyDescent="0.2">
      <c r="C8" s="16" t="s">
        <v>24</v>
      </c>
      <c r="D8" s="9">
        <v>180</v>
      </c>
      <c r="E8" s="9">
        <v>269</v>
      </c>
      <c r="F8" s="9">
        <v>189</v>
      </c>
      <c r="G8" s="9">
        <v>218</v>
      </c>
      <c r="H8" s="9">
        <v>252</v>
      </c>
      <c r="I8" s="9">
        <v>283</v>
      </c>
      <c r="J8" s="9">
        <v>220</v>
      </c>
      <c r="K8" s="9">
        <v>113</v>
      </c>
      <c r="L8" s="9">
        <v>141</v>
      </c>
      <c r="M8" s="9">
        <v>254</v>
      </c>
      <c r="N8" s="9">
        <v>271</v>
      </c>
      <c r="O8" s="9">
        <v>150</v>
      </c>
      <c r="P8" s="9">
        <v>218</v>
      </c>
      <c r="Q8" s="9">
        <v>202</v>
      </c>
      <c r="R8" s="9">
        <v>351</v>
      </c>
      <c r="S8" s="9">
        <v>173</v>
      </c>
      <c r="T8" s="9">
        <v>427</v>
      </c>
      <c r="U8" s="9">
        <v>98</v>
      </c>
      <c r="V8" s="9">
        <v>278</v>
      </c>
      <c r="W8" s="10">
        <v>211</v>
      </c>
    </row>
    <row r="9" spans="1:23" x14ac:dyDescent="0.2">
      <c r="C9" s="16" t="s">
        <v>25</v>
      </c>
      <c r="D9" s="9">
        <v>368</v>
      </c>
      <c r="E9" s="9">
        <v>248</v>
      </c>
      <c r="F9" s="9">
        <v>308</v>
      </c>
      <c r="G9" s="9">
        <v>220</v>
      </c>
      <c r="H9" s="9">
        <v>228</v>
      </c>
      <c r="I9" s="9">
        <v>285</v>
      </c>
      <c r="J9" s="9">
        <v>77</v>
      </c>
      <c r="K9" s="9">
        <v>143</v>
      </c>
      <c r="L9" s="9">
        <v>160</v>
      </c>
      <c r="M9" s="9">
        <v>355</v>
      </c>
      <c r="N9" s="9">
        <v>130</v>
      </c>
      <c r="O9" s="9">
        <v>33</v>
      </c>
      <c r="P9" s="9">
        <v>272</v>
      </c>
      <c r="Q9" s="9">
        <v>70</v>
      </c>
      <c r="R9" s="9">
        <v>240</v>
      </c>
      <c r="S9" s="9">
        <v>431</v>
      </c>
      <c r="T9" s="9">
        <v>220</v>
      </c>
      <c r="U9" s="9">
        <v>214</v>
      </c>
      <c r="V9" s="9">
        <v>291</v>
      </c>
      <c r="W9" s="10">
        <v>134</v>
      </c>
    </row>
    <row r="10" spans="1:23" x14ac:dyDescent="0.2">
      <c r="C10" s="16" t="s">
        <v>26</v>
      </c>
      <c r="D10" s="9">
        <v>111</v>
      </c>
      <c r="E10" s="9">
        <v>139</v>
      </c>
      <c r="F10" s="9">
        <v>56</v>
      </c>
      <c r="G10" s="9">
        <v>54</v>
      </c>
      <c r="H10" s="9">
        <v>123</v>
      </c>
      <c r="I10" s="9">
        <v>119</v>
      </c>
      <c r="J10" s="9">
        <v>54</v>
      </c>
      <c r="K10" s="9">
        <v>67</v>
      </c>
      <c r="L10" s="9">
        <v>37</v>
      </c>
      <c r="M10" s="9">
        <v>130</v>
      </c>
      <c r="N10" s="9">
        <v>51</v>
      </c>
      <c r="O10" s="9">
        <v>35</v>
      </c>
      <c r="P10" s="9">
        <v>43</v>
      </c>
      <c r="Q10" s="9">
        <v>3</v>
      </c>
      <c r="R10" s="9">
        <v>60</v>
      </c>
      <c r="S10" s="9">
        <v>60</v>
      </c>
      <c r="T10" s="9">
        <v>59</v>
      </c>
      <c r="U10" s="9">
        <v>95</v>
      </c>
      <c r="V10" s="9">
        <v>66</v>
      </c>
      <c r="W10" s="10">
        <v>85</v>
      </c>
    </row>
    <row r="11" spans="1:23" x14ac:dyDescent="0.2">
      <c r="C11" s="16" t="s">
        <v>27</v>
      </c>
      <c r="D11" s="9">
        <v>108</v>
      </c>
      <c r="E11" s="9">
        <v>86</v>
      </c>
      <c r="F11" s="9">
        <v>61</v>
      </c>
      <c r="G11" s="9">
        <v>70</v>
      </c>
      <c r="H11" s="9">
        <v>141</v>
      </c>
      <c r="I11" s="9">
        <v>84</v>
      </c>
      <c r="J11" s="9">
        <v>44</v>
      </c>
      <c r="K11" s="9">
        <v>101</v>
      </c>
      <c r="L11" s="9">
        <v>55</v>
      </c>
      <c r="M11" s="9">
        <v>72</v>
      </c>
      <c r="N11" s="9">
        <v>79</v>
      </c>
      <c r="O11" s="9">
        <v>107</v>
      </c>
      <c r="P11" s="9">
        <v>90</v>
      </c>
      <c r="Q11" s="9">
        <v>75</v>
      </c>
      <c r="R11" s="9">
        <v>93</v>
      </c>
      <c r="S11" s="9">
        <v>90</v>
      </c>
      <c r="T11" s="9">
        <v>40</v>
      </c>
      <c r="U11" s="9">
        <v>96</v>
      </c>
      <c r="V11" s="9">
        <v>75</v>
      </c>
      <c r="W11" s="10">
        <v>59</v>
      </c>
    </row>
    <row r="12" spans="1:23" x14ac:dyDescent="0.2">
      <c r="C12" s="17" t="s">
        <v>28</v>
      </c>
      <c r="D12" s="11">
        <v>123</v>
      </c>
      <c r="E12" s="11">
        <v>83</v>
      </c>
      <c r="F12" s="11">
        <v>23</v>
      </c>
      <c r="G12" s="11">
        <v>59</v>
      </c>
      <c r="H12" s="11">
        <v>70</v>
      </c>
      <c r="I12" s="11">
        <v>37</v>
      </c>
      <c r="J12" s="11">
        <v>42</v>
      </c>
      <c r="K12" s="11">
        <v>43</v>
      </c>
      <c r="L12" s="11">
        <v>64</v>
      </c>
      <c r="M12" s="11">
        <v>62</v>
      </c>
      <c r="N12" s="11">
        <v>58</v>
      </c>
      <c r="O12" s="11">
        <v>63</v>
      </c>
      <c r="P12" s="11">
        <v>71</v>
      </c>
      <c r="Q12" s="11">
        <v>83</v>
      </c>
      <c r="R12" s="11">
        <v>80</v>
      </c>
      <c r="S12" s="11">
        <v>41</v>
      </c>
      <c r="T12" s="11">
        <v>39</v>
      </c>
      <c r="U12" s="11">
        <v>74</v>
      </c>
      <c r="V12" s="11">
        <v>74</v>
      </c>
      <c r="W12" s="12">
        <v>70</v>
      </c>
    </row>
    <row r="14" spans="1:23" ht="32" x14ac:dyDescent="0.2">
      <c r="B14" s="20" t="s">
        <v>36</v>
      </c>
      <c r="C14" s="21" t="s">
        <v>23</v>
      </c>
      <c r="D14" s="15">
        <v>2500</v>
      </c>
    </row>
    <row r="15" spans="1:23" x14ac:dyDescent="0.2">
      <c r="C15" s="16" t="s">
        <v>24</v>
      </c>
      <c r="D15" s="10">
        <v>2800</v>
      </c>
    </row>
    <row r="16" spans="1:23" x14ac:dyDescent="0.2">
      <c r="C16" s="16" t="s">
        <v>25</v>
      </c>
      <c r="D16" s="10">
        <v>2900</v>
      </c>
    </row>
    <row r="17" spans="1:23" x14ac:dyDescent="0.2">
      <c r="C17" s="16" t="s">
        <v>26</v>
      </c>
      <c r="D17" s="10">
        <v>900</v>
      </c>
    </row>
    <row r="18" spans="1:23" x14ac:dyDescent="0.2">
      <c r="C18" s="16" t="s">
        <v>27</v>
      </c>
      <c r="D18" s="10">
        <v>900</v>
      </c>
    </row>
    <row r="19" spans="1:23" x14ac:dyDescent="0.2">
      <c r="C19" s="17" t="s">
        <v>28</v>
      </c>
      <c r="D19" s="12">
        <v>900</v>
      </c>
    </row>
    <row r="22" spans="1:23" x14ac:dyDescent="0.2">
      <c r="A22" s="1" t="s">
        <v>29</v>
      </c>
      <c r="C22" s="18" t="s">
        <v>44</v>
      </c>
      <c r="D22" s="13" t="s">
        <v>2</v>
      </c>
      <c r="E22" s="14" t="s">
        <v>3</v>
      </c>
      <c r="F22" s="14" t="s">
        <v>4</v>
      </c>
      <c r="G22" s="14" t="s">
        <v>5</v>
      </c>
      <c r="H22" s="14" t="s">
        <v>6</v>
      </c>
      <c r="I22" s="14" t="s">
        <v>7</v>
      </c>
      <c r="J22" s="14" t="s">
        <v>8</v>
      </c>
      <c r="K22" s="14" t="s">
        <v>9</v>
      </c>
      <c r="L22" s="14" t="s">
        <v>10</v>
      </c>
      <c r="M22" s="14" t="s">
        <v>11</v>
      </c>
      <c r="N22" s="14" t="s">
        <v>12</v>
      </c>
      <c r="O22" s="14" t="s">
        <v>13</v>
      </c>
      <c r="P22" s="14" t="s">
        <v>14</v>
      </c>
      <c r="Q22" s="14" t="s">
        <v>15</v>
      </c>
      <c r="R22" s="14" t="s">
        <v>16</v>
      </c>
      <c r="S22" s="14" t="s">
        <v>17</v>
      </c>
      <c r="T22" s="14" t="s">
        <v>18</v>
      </c>
      <c r="U22" s="14" t="s">
        <v>19</v>
      </c>
      <c r="V22" s="14" t="s">
        <v>20</v>
      </c>
      <c r="W22" s="19" t="s">
        <v>21</v>
      </c>
    </row>
    <row r="23" spans="1:23" x14ac:dyDescent="0.2">
      <c r="A23" s="1"/>
      <c r="D23" s="2">
        <v>0</v>
      </c>
      <c r="E23" s="3">
        <v>1</v>
      </c>
      <c r="F23" s="3">
        <v>1</v>
      </c>
      <c r="G23" s="3">
        <v>0</v>
      </c>
      <c r="H23" s="3">
        <v>0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0</v>
      </c>
      <c r="O23" s="3">
        <v>0</v>
      </c>
      <c r="P23" s="3">
        <v>0</v>
      </c>
      <c r="Q23" s="3">
        <v>1</v>
      </c>
      <c r="R23" s="3">
        <v>1</v>
      </c>
      <c r="S23" s="3">
        <v>1</v>
      </c>
      <c r="T23" s="3">
        <v>0</v>
      </c>
      <c r="U23" s="3">
        <v>0</v>
      </c>
      <c r="V23" s="3">
        <v>1</v>
      </c>
      <c r="W23" s="4">
        <v>1</v>
      </c>
    </row>
    <row r="24" spans="1:23" x14ac:dyDescent="0.2">
      <c r="A24" s="1"/>
    </row>
    <row r="25" spans="1:23" x14ac:dyDescent="0.2">
      <c r="A25" s="1" t="s">
        <v>31</v>
      </c>
    </row>
    <row r="26" spans="1:23" ht="48" x14ac:dyDescent="0.2">
      <c r="A26" s="1"/>
      <c r="C26" s="6" t="s">
        <v>30</v>
      </c>
      <c r="D26" s="7">
        <f>SUMPRODUCT(D23:W23,D5:W5)</f>
        <v>9293</v>
      </c>
    </row>
    <row r="27" spans="1:23" x14ac:dyDescent="0.2">
      <c r="A27" s="1"/>
    </row>
    <row r="28" spans="1:23" x14ac:dyDescent="0.2">
      <c r="A28" s="1" t="s">
        <v>32</v>
      </c>
      <c r="C28" s="22" t="s">
        <v>33</v>
      </c>
      <c r="D28" s="23" t="s">
        <v>34</v>
      </c>
      <c r="E28" s="23"/>
      <c r="F28" s="24" t="s">
        <v>35</v>
      </c>
    </row>
    <row r="29" spans="1:23" x14ac:dyDescent="0.2">
      <c r="B29" s="1"/>
      <c r="C29" s="16" t="s">
        <v>23</v>
      </c>
      <c r="D29">
        <f>SUMPRODUCT(D7:W7,$D$23:$W$23)</f>
        <v>2460</v>
      </c>
      <c r="E29" t="s">
        <v>38</v>
      </c>
      <c r="F29" s="8">
        <f>D14</f>
        <v>2500</v>
      </c>
    </row>
    <row r="30" spans="1:23" x14ac:dyDescent="0.2">
      <c r="B30" s="1"/>
      <c r="C30" s="16" t="s">
        <v>24</v>
      </c>
      <c r="D30">
        <f t="shared" ref="D30:D34" si="0">SUMPRODUCT(D8:W8,$D$23:$W$23)</f>
        <v>2684</v>
      </c>
      <c r="E30" t="s">
        <v>38</v>
      </c>
      <c r="F30" s="8">
        <f t="shared" ref="F30:F34" si="1">D15</f>
        <v>2800</v>
      </c>
    </row>
    <row r="31" spans="1:23" x14ac:dyDescent="0.2">
      <c r="B31" s="1"/>
      <c r="C31" s="16" t="s">
        <v>25</v>
      </c>
      <c r="D31">
        <f t="shared" si="0"/>
        <v>2742</v>
      </c>
      <c r="E31" t="s">
        <v>38</v>
      </c>
      <c r="F31" s="8">
        <f t="shared" si="1"/>
        <v>2900</v>
      </c>
    </row>
    <row r="32" spans="1:23" x14ac:dyDescent="0.2">
      <c r="B32" s="1"/>
      <c r="C32" s="16" t="s">
        <v>26</v>
      </c>
      <c r="D32">
        <f t="shared" si="0"/>
        <v>876</v>
      </c>
      <c r="E32" t="s">
        <v>38</v>
      </c>
      <c r="F32" s="8">
        <f t="shared" si="1"/>
        <v>900</v>
      </c>
    </row>
    <row r="33" spans="3:6" x14ac:dyDescent="0.2">
      <c r="C33" s="16" t="s">
        <v>27</v>
      </c>
      <c r="D33">
        <f t="shared" si="0"/>
        <v>895</v>
      </c>
      <c r="E33" t="s">
        <v>38</v>
      </c>
      <c r="F33" s="8">
        <f t="shared" si="1"/>
        <v>900</v>
      </c>
    </row>
    <row r="34" spans="3:6" x14ac:dyDescent="0.2">
      <c r="C34" s="17" t="s">
        <v>28</v>
      </c>
      <c r="D34" s="25">
        <f t="shared" si="0"/>
        <v>702</v>
      </c>
      <c r="E34" s="25" t="s">
        <v>38</v>
      </c>
      <c r="F34" s="26">
        <f t="shared" si="1"/>
        <v>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5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2.1640625" customWidth="1"/>
    <col min="2" max="2" width="10.5" customWidth="1"/>
    <col min="3" max="3" width="19.5" customWidth="1"/>
    <col min="4" max="12" width="8.83203125" bestFit="1" customWidth="1"/>
    <col min="13" max="23" width="9.83203125" bestFit="1" customWidth="1"/>
  </cols>
  <sheetData>
    <row r="1" spans="1:23" x14ac:dyDescent="0.2">
      <c r="A1" s="1" t="s">
        <v>45</v>
      </c>
    </row>
    <row r="3" spans="1:23" x14ac:dyDescent="0.2">
      <c r="A3" s="1" t="s">
        <v>1</v>
      </c>
      <c r="B3" s="1"/>
    </row>
    <row r="4" spans="1:23" x14ac:dyDescent="0.2">
      <c r="B4" t="s">
        <v>37</v>
      </c>
      <c r="C4" s="13"/>
      <c r="D4" s="14" t="s">
        <v>2</v>
      </c>
      <c r="E4" s="14" t="s">
        <v>3</v>
      </c>
      <c r="F4" s="14" t="s">
        <v>4</v>
      </c>
      <c r="G4" s="14" t="s">
        <v>5</v>
      </c>
      <c r="H4" s="14" t="s">
        <v>6</v>
      </c>
      <c r="I4" s="14" t="s">
        <v>7</v>
      </c>
      <c r="J4" s="14" t="s">
        <v>8</v>
      </c>
      <c r="K4" s="14" t="s">
        <v>9</v>
      </c>
      <c r="L4" s="14" t="s">
        <v>10</v>
      </c>
      <c r="M4" s="14" t="s">
        <v>11</v>
      </c>
      <c r="N4" s="14" t="s">
        <v>12</v>
      </c>
      <c r="O4" s="14" t="s">
        <v>13</v>
      </c>
      <c r="P4" s="14" t="s">
        <v>14</v>
      </c>
      <c r="Q4" s="14" t="s">
        <v>15</v>
      </c>
      <c r="R4" s="14" t="s">
        <v>16</v>
      </c>
      <c r="S4" s="14" t="s">
        <v>17</v>
      </c>
      <c r="T4" s="14" t="s">
        <v>18</v>
      </c>
      <c r="U4" s="14" t="s">
        <v>19</v>
      </c>
      <c r="V4" s="14" t="s">
        <v>20</v>
      </c>
      <c r="W4" s="15" t="s">
        <v>21</v>
      </c>
    </row>
    <row r="5" spans="1:23" x14ac:dyDescent="0.2">
      <c r="C5" s="16" t="s">
        <v>22</v>
      </c>
      <c r="D5" s="9">
        <v>928</v>
      </c>
      <c r="E5" s="9">
        <v>908</v>
      </c>
      <c r="F5" s="9">
        <v>801</v>
      </c>
      <c r="G5" s="9">
        <v>543</v>
      </c>
      <c r="H5" s="9">
        <v>944</v>
      </c>
      <c r="I5" s="9">
        <v>848</v>
      </c>
      <c r="J5" s="9">
        <v>545</v>
      </c>
      <c r="K5" s="9">
        <v>808</v>
      </c>
      <c r="L5" s="9">
        <v>638</v>
      </c>
      <c r="M5" s="9">
        <v>841</v>
      </c>
      <c r="N5" s="9">
        <v>664</v>
      </c>
      <c r="O5" s="9">
        <v>546</v>
      </c>
      <c r="P5" s="9">
        <v>699</v>
      </c>
      <c r="Q5" s="9">
        <v>599</v>
      </c>
      <c r="R5" s="9">
        <v>903</v>
      </c>
      <c r="S5" s="9">
        <v>859</v>
      </c>
      <c r="T5" s="9">
        <v>748</v>
      </c>
      <c r="U5" s="9">
        <v>668</v>
      </c>
      <c r="V5" s="9">
        <v>888</v>
      </c>
      <c r="W5" s="10">
        <v>655</v>
      </c>
    </row>
    <row r="6" spans="1:23" x14ac:dyDescent="0.2">
      <c r="C6" s="5"/>
      <c r="W6" s="8"/>
    </row>
    <row r="7" spans="1:23" x14ac:dyDescent="0.2">
      <c r="C7" s="16" t="s">
        <v>23</v>
      </c>
      <c r="D7" s="9">
        <v>398</v>
      </c>
      <c r="E7" s="9">
        <v>151</v>
      </c>
      <c r="F7" s="9">
        <v>129</v>
      </c>
      <c r="G7" s="9">
        <v>275</v>
      </c>
      <c r="H7" s="9">
        <v>291</v>
      </c>
      <c r="I7" s="9">
        <v>80</v>
      </c>
      <c r="J7" s="9">
        <v>203</v>
      </c>
      <c r="K7" s="9">
        <v>150</v>
      </c>
      <c r="L7" s="9">
        <v>282</v>
      </c>
      <c r="M7" s="9">
        <v>214</v>
      </c>
      <c r="N7" s="9">
        <v>224</v>
      </c>
      <c r="O7" s="9">
        <v>225</v>
      </c>
      <c r="P7" s="9">
        <v>101</v>
      </c>
      <c r="Q7" s="9">
        <v>255</v>
      </c>
      <c r="R7" s="9">
        <v>228</v>
      </c>
      <c r="S7" s="9">
        <v>303</v>
      </c>
      <c r="T7" s="9">
        <v>133</v>
      </c>
      <c r="U7" s="9">
        <v>197</v>
      </c>
      <c r="V7" s="9">
        <v>313</v>
      </c>
      <c r="W7" s="10">
        <v>152</v>
      </c>
    </row>
    <row r="8" spans="1:23" x14ac:dyDescent="0.2">
      <c r="C8" s="16" t="s">
        <v>24</v>
      </c>
      <c r="D8" s="9">
        <v>180</v>
      </c>
      <c r="E8" s="9">
        <v>269</v>
      </c>
      <c r="F8" s="9">
        <v>189</v>
      </c>
      <c r="G8" s="9">
        <v>218</v>
      </c>
      <c r="H8" s="9">
        <v>252</v>
      </c>
      <c r="I8" s="9">
        <v>283</v>
      </c>
      <c r="J8" s="9">
        <v>220</v>
      </c>
      <c r="K8" s="9">
        <v>113</v>
      </c>
      <c r="L8" s="9">
        <v>141</v>
      </c>
      <c r="M8" s="9">
        <v>254</v>
      </c>
      <c r="N8" s="9">
        <v>271</v>
      </c>
      <c r="O8" s="9">
        <v>150</v>
      </c>
      <c r="P8" s="9">
        <v>218</v>
      </c>
      <c r="Q8" s="9">
        <v>202</v>
      </c>
      <c r="R8" s="9">
        <v>351</v>
      </c>
      <c r="S8" s="9">
        <v>173</v>
      </c>
      <c r="T8" s="9">
        <v>427</v>
      </c>
      <c r="U8" s="9">
        <v>98</v>
      </c>
      <c r="V8" s="9">
        <v>278</v>
      </c>
      <c r="W8" s="10">
        <v>211</v>
      </c>
    </row>
    <row r="9" spans="1:23" x14ac:dyDescent="0.2">
      <c r="C9" s="16" t="s">
        <v>25</v>
      </c>
      <c r="D9" s="9">
        <v>368</v>
      </c>
      <c r="E9" s="9">
        <v>248</v>
      </c>
      <c r="F9" s="9">
        <v>308</v>
      </c>
      <c r="G9" s="9">
        <v>220</v>
      </c>
      <c r="H9" s="9">
        <v>228</v>
      </c>
      <c r="I9" s="9">
        <v>285</v>
      </c>
      <c r="J9" s="9">
        <v>77</v>
      </c>
      <c r="K9" s="9">
        <v>143</v>
      </c>
      <c r="L9" s="9">
        <v>160</v>
      </c>
      <c r="M9" s="9">
        <v>355</v>
      </c>
      <c r="N9" s="9">
        <v>130</v>
      </c>
      <c r="O9" s="9">
        <v>33</v>
      </c>
      <c r="P9" s="9">
        <v>272</v>
      </c>
      <c r="Q9" s="9">
        <v>70</v>
      </c>
      <c r="R9" s="9">
        <v>240</v>
      </c>
      <c r="S9" s="9">
        <v>431</v>
      </c>
      <c r="T9" s="9">
        <v>220</v>
      </c>
      <c r="U9" s="9">
        <v>214</v>
      </c>
      <c r="V9" s="9">
        <v>291</v>
      </c>
      <c r="W9" s="10">
        <v>134</v>
      </c>
    </row>
    <row r="10" spans="1:23" x14ac:dyDescent="0.2">
      <c r="C10" s="16" t="s">
        <v>26</v>
      </c>
      <c r="D10" s="9">
        <v>111</v>
      </c>
      <c r="E10" s="9">
        <v>139</v>
      </c>
      <c r="F10" s="9">
        <v>56</v>
      </c>
      <c r="G10" s="9">
        <v>54</v>
      </c>
      <c r="H10" s="9">
        <v>123</v>
      </c>
      <c r="I10" s="9">
        <v>119</v>
      </c>
      <c r="J10" s="9">
        <v>54</v>
      </c>
      <c r="K10" s="9">
        <v>67</v>
      </c>
      <c r="L10" s="9">
        <v>37</v>
      </c>
      <c r="M10" s="9">
        <v>130</v>
      </c>
      <c r="N10" s="9">
        <v>51</v>
      </c>
      <c r="O10" s="9">
        <v>35</v>
      </c>
      <c r="P10" s="9">
        <v>43</v>
      </c>
      <c r="Q10" s="9">
        <v>3</v>
      </c>
      <c r="R10" s="9">
        <v>60</v>
      </c>
      <c r="S10" s="9">
        <v>60</v>
      </c>
      <c r="T10" s="9">
        <v>59</v>
      </c>
      <c r="U10" s="9">
        <v>95</v>
      </c>
      <c r="V10" s="9">
        <v>66</v>
      </c>
      <c r="W10" s="10">
        <v>85</v>
      </c>
    </row>
    <row r="11" spans="1:23" x14ac:dyDescent="0.2">
      <c r="C11" s="16" t="s">
        <v>27</v>
      </c>
      <c r="D11" s="9">
        <v>108</v>
      </c>
      <c r="E11" s="9">
        <v>86</v>
      </c>
      <c r="F11" s="9">
        <v>61</v>
      </c>
      <c r="G11" s="9">
        <v>70</v>
      </c>
      <c r="H11" s="9">
        <v>141</v>
      </c>
      <c r="I11" s="9">
        <v>84</v>
      </c>
      <c r="J11" s="9">
        <v>44</v>
      </c>
      <c r="K11" s="9">
        <v>101</v>
      </c>
      <c r="L11" s="9">
        <v>55</v>
      </c>
      <c r="M11" s="9">
        <v>72</v>
      </c>
      <c r="N11" s="9">
        <v>79</v>
      </c>
      <c r="O11" s="9">
        <v>107</v>
      </c>
      <c r="P11" s="9">
        <v>90</v>
      </c>
      <c r="Q11" s="9">
        <v>75</v>
      </c>
      <c r="R11" s="9">
        <v>93</v>
      </c>
      <c r="S11" s="9">
        <v>90</v>
      </c>
      <c r="T11" s="9">
        <v>40</v>
      </c>
      <c r="U11" s="9">
        <v>96</v>
      </c>
      <c r="V11" s="9">
        <v>75</v>
      </c>
      <c r="W11" s="10">
        <v>59</v>
      </c>
    </row>
    <row r="12" spans="1:23" x14ac:dyDescent="0.2">
      <c r="C12" s="17" t="s">
        <v>28</v>
      </c>
      <c r="D12" s="11">
        <v>123</v>
      </c>
      <c r="E12" s="11">
        <v>83</v>
      </c>
      <c r="F12" s="11">
        <v>23</v>
      </c>
      <c r="G12" s="11">
        <v>59</v>
      </c>
      <c r="H12" s="11">
        <v>70</v>
      </c>
      <c r="I12" s="11">
        <v>37</v>
      </c>
      <c r="J12" s="11">
        <v>42</v>
      </c>
      <c r="K12" s="11">
        <v>43</v>
      </c>
      <c r="L12" s="11">
        <v>64</v>
      </c>
      <c r="M12" s="11">
        <v>62</v>
      </c>
      <c r="N12" s="11">
        <v>58</v>
      </c>
      <c r="O12" s="11">
        <v>63</v>
      </c>
      <c r="P12" s="11">
        <v>71</v>
      </c>
      <c r="Q12" s="11">
        <v>83</v>
      </c>
      <c r="R12" s="11">
        <v>80</v>
      </c>
      <c r="S12" s="11">
        <v>41</v>
      </c>
      <c r="T12" s="11">
        <v>39</v>
      </c>
      <c r="U12" s="11">
        <v>74</v>
      </c>
      <c r="V12" s="11">
        <v>74</v>
      </c>
      <c r="W12" s="12">
        <v>70</v>
      </c>
    </row>
    <row r="14" spans="1:23" ht="32" x14ac:dyDescent="0.2">
      <c r="B14" s="20" t="s">
        <v>36</v>
      </c>
      <c r="C14" s="21" t="s">
        <v>23</v>
      </c>
      <c r="D14" s="15">
        <v>2500</v>
      </c>
    </row>
    <row r="15" spans="1:23" x14ac:dyDescent="0.2">
      <c r="C15" s="16" t="s">
        <v>24</v>
      </c>
      <c r="D15" s="10">
        <v>2800</v>
      </c>
    </row>
    <row r="16" spans="1:23" x14ac:dyDescent="0.2">
      <c r="C16" s="16" t="s">
        <v>25</v>
      </c>
      <c r="D16" s="10">
        <v>2900</v>
      </c>
    </row>
    <row r="17" spans="1:23" x14ac:dyDescent="0.2">
      <c r="C17" s="16" t="s">
        <v>26</v>
      </c>
      <c r="D17" s="10">
        <v>900</v>
      </c>
    </row>
    <row r="18" spans="1:23" x14ac:dyDescent="0.2">
      <c r="C18" s="16" t="s">
        <v>27</v>
      </c>
      <c r="D18" s="10">
        <v>900</v>
      </c>
    </row>
    <row r="19" spans="1:23" x14ac:dyDescent="0.2">
      <c r="C19" s="17" t="s">
        <v>28</v>
      </c>
      <c r="D19" s="12">
        <v>900</v>
      </c>
    </row>
    <row r="22" spans="1:23" x14ac:dyDescent="0.2">
      <c r="A22" s="1" t="s">
        <v>29</v>
      </c>
      <c r="C22" s="18" t="s">
        <v>44</v>
      </c>
      <c r="D22" s="13" t="s">
        <v>2</v>
      </c>
      <c r="E22" s="14" t="s">
        <v>3</v>
      </c>
      <c r="F22" s="14" t="s">
        <v>4</v>
      </c>
      <c r="G22" s="14" t="s">
        <v>5</v>
      </c>
      <c r="H22" s="14" t="s">
        <v>6</v>
      </c>
      <c r="I22" s="14" t="s">
        <v>7</v>
      </c>
      <c r="J22" s="14" t="s">
        <v>8</v>
      </c>
      <c r="K22" s="14" t="s">
        <v>9</v>
      </c>
      <c r="L22" s="14" t="s">
        <v>10</v>
      </c>
      <c r="M22" s="14" t="s">
        <v>11</v>
      </c>
      <c r="N22" s="14" t="s">
        <v>12</v>
      </c>
      <c r="O22" s="14" t="s">
        <v>13</v>
      </c>
      <c r="P22" s="14" t="s">
        <v>14</v>
      </c>
      <c r="Q22" s="14" t="s">
        <v>15</v>
      </c>
      <c r="R22" s="14" t="s">
        <v>16</v>
      </c>
      <c r="S22" s="14" t="s">
        <v>17</v>
      </c>
      <c r="T22" s="14" t="s">
        <v>18</v>
      </c>
      <c r="U22" s="14" t="s">
        <v>19</v>
      </c>
      <c r="V22" s="14" t="s">
        <v>20</v>
      </c>
      <c r="W22" s="19" t="s">
        <v>21</v>
      </c>
    </row>
    <row r="23" spans="1:23" x14ac:dyDescent="0.2">
      <c r="A23" s="1"/>
      <c r="D23" s="2">
        <v>0</v>
      </c>
      <c r="E23" s="3">
        <v>1</v>
      </c>
      <c r="F23" s="3">
        <v>1</v>
      </c>
      <c r="G23" s="3">
        <v>0</v>
      </c>
      <c r="H23" s="3">
        <v>0</v>
      </c>
      <c r="I23" s="3">
        <v>0</v>
      </c>
      <c r="J23" s="3">
        <v>1</v>
      </c>
      <c r="K23" s="3">
        <v>1</v>
      </c>
      <c r="L23" s="3">
        <v>0</v>
      </c>
      <c r="M23" s="3">
        <v>1</v>
      </c>
      <c r="N23" s="3">
        <v>0</v>
      </c>
      <c r="O23" s="3">
        <v>0</v>
      </c>
      <c r="P23" s="3">
        <v>0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4">
        <v>1</v>
      </c>
    </row>
    <row r="24" spans="1:23" x14ac:dyDescent="0.2">
      <c r="A24" s="1"/>
    </row>
    <row r="25" spans="1:23" x14ac:dyDescent="0.2">
      <c r="A25" s="1" t="s">
        <v>31</v>
      </c>
    </row>
    <row r="26" spans="1:23" ht="32" x14ac:dyDescent="0.2">
      <c r="A26" s="1"/>
      <c r="C26" s="6" t="s">
        <v>30</v>
      </c>
      <c r="D26" s="7">
        <f>SUMPRODUCT(D23:W23,D5:W5)</f>
        <v>9223</v>
      </c>
    </row>
    <row r="27" spans="1:23" x14ac:dyDescent="0.2">
      <c r="A27" s="1"/>
    </row>
    <row r="28" spans="1:23" x14ac:dyDescent="0.2">
      <c r="A28" s="1" t="s">
        <v>32</v>
      </c>
      <c r="C28" s="22" t="s">
        <v>33</v>
      </c>
      <c r="D28" s="23" t="s">
        <v>34</v>
      </c>
      <c r="E28" s="23"/>
      <c r="F28" s="24" t="s">
        <v>35</v>
      </c>
    </row>
    <row r="29" spans="1:23" x14ac:dyDescent="0.2">
      <c r="B29" s="1"/>
      <c r="C29" s="16" t="s">
        <v>23</v>
      </c>
      <c r="D29">
        <f>SUMPRODUCT(D7:W7,$D$23:$W$23)</f>
        <v>2428</v>
      </c>
      <c r="E29" t="s">
        <v>38</v>
      </c>
      <c r="F29" s="8">
        <f>D14</f>
        <v>2500</v>
      </c>
    </row>
    <row r="30" spans="1:23" x14ac:dyDescent="0.2">
      <c r="B30" s="1"/>
      <c r="C30" s="16" t="s">
        <v>24</v>
      </c>
      <c r="D30">
        <f t="shared" ref="D30:D34" si="0">SUMPRODUCT(D8:W8,$D$23:$W$23)</f>
        <v>2785</v>
      </c>
      <c r="E30" t="s">
        <v>38</v>
      </c>
      <c r="F30" s="8">
        <f t="shared" ref="F30:F34" si="1">D15</f>
        <v>2800</v>
      </c>
    </row>
    <row r="31" spans="1:23" x14ac:dyDescent="0.2">
      <c r="B31" s="1"/>
      <c r="C31" s="16" t="s">
        <v>25</v>
      </c>
      <c r="D31">
        <f t="shared" si="0"/>
        <v>2731</v>
      </c>
      <c r="E31" t="s">
        <v>38</v>
      </c>
      <c r="F31" s="8">
        <f t="shared" si="1"/>
        <v>2900</v>
      </c>
    </row>
    <row r="32" spans="1:23" x14ac:dyDescent="0.2">
      <c r="B32" s="1"/>
      <c r="C32" s="16" t="s">
        <v>26</v>
      </c>
      <c r="D32">
        <f t="shared" si="0"/>
        <v>874</v>
      </c>
      <c r="E32" t="s">
        <v>38</v>
      </c>
      <c r="F32" s="8">
        <f t="shared" si="1"/>
        <v>900</v>
      </c>
    </row>
    <row r="33" spans="3:6" x14ac:dyDescent="0.2">
      <c r="C33" s="16" t="s">
        <v>27</v>
      </c>
      <c r="D33">
        <f t="shared" si="0"/>
        <v>892</v>
      </c>
      <c r="E33" t="s">
        <v>38</v>
      </c>
      <c r="F33" s="8">
        <f t="shared" si="1"/>
        <v>900</v>
      </c>
    </row>
    <row r="34" spans="3:6" x14ac:dyDescent="0.2">
      <c r="C34" s="16" t="s">
        <v>28</v>
      </c>
      <c r="D34">
        <f t="shared" si="0"/>
        <v>714</v>
      </c>
      <c r="E34" t="s">
        <v>38</v>
      </c>
      <c r="F34" s="8">
        <f t="shared" si="1"/>
        <v>900</v>
      </c>
    </row>
    <row r="35" spans="3:6" x14ac:dyDescent="0.2">
      <c r="C35" s="29" t="s">
        <v>39</v>
      </c>
      <c r="D35" s="30">
        <f>I23+J23</f>
        <v>1</v>
      </c>
      <c r="E35" s="30" t="s">
        <v>38</v>
      </c>
      <c r="F35" s="31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5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2.1640625" customWidth="1"/>
    <col min="2" max="2" width="10.5" customWidth="1"/>
    <col min="3" max="3" width="19.5" customWidth="1"/>
    <col min="4" max="12" width="8.83203125" bestFit="1" customWidth="1"/>
    <col min="13" max="23" width="9.83203125" bestFit="1" customWidth="1"/>
  </cols>
  <sheetData>
    <row r="1" spans="1:23" x14ac:dyDescent="0.2">
      <c r="A1" s="1" t="s">
        <v>45</v>
      </c>
    </row>
    <row r="3" spans="1:23" x14ac:dyDescent="0.2">
      <c r="A3" s="1" t="s">
        <v>1</v>
      </c>
      <c r="B3" s="1"/>
    </row>
    <row r="4" spans="1:23" x14ac:dyDescent="0.2">
      <c r="B4" t="s">
        <v>37</v>
      </c>
      <c r="C4" s="13"/>
      <c r="D4" s="14" t="s">
        <v>2</v>
      </c>
      <c r="E4" s="14" t="s">
        <v>3</v>
      </c>
      <c r="F4" s="14" t="s">
        <v>4</v>
      </c>
      <c r="G4" s="14" t="s">
        <v>5</v>
      </c>
      <c r="H4" s="14" t="s">
        <v>6</v>
      </c>
      <c r="I4" s="14" t="s">
        <v>7</v>
      </c>
      <c r="J4" s="14" t="s">
        <v>8</v>
      </c>
      <c r="K4" s="14" t="s">
        <v>9</v>
      </c>
      <c r="L4" s="14" t="s">
        <v>10</v>
      </c>
      <c r="M4" s="14" t="s">
        <v>11</v>
      </c>
      <c r="N4" s="14" t="s">
        <v>12</v>
      </c>
      <c r="O4" s="14" t="s">
        <v>13</v>
      </c>
      <c r="P4" s="14" t="s">
        <v>14</v>
      </c>
      <c r="Q4" s="14" t="s">
        <v>15</v>
      </c>
      <c r="R4" s="14" t="s">
        <v>16</v>
      </c>
      <c r="S4" s="14" t="s">
        <v>17</v>
      </c>
      <c r="T4" s="14" t="s">
        <v>18</v>
      </c>
      <c r="U4" s="14" t="s">
        <v>19</v>
      </c>
      <c r="V4" s="14" t="s">
        <v>20</v>
      </c>
      <c r="W4" s="15" t="s">
        <v>21</v>
      </c>
    </row>
    <row r="5" spans="1:23" x14ac:dyDescent="0.2">
      <c r="C5" s="16" t="s">
        <v>22</v>
      </c>
      <c r="D5" s="9">
        <v>928</v>
      </c>
      <c r="E5" s="9">
        <v>908</v>
      </c>
      <c r="F5" s="9">
        <v>801</v>
      </c>
      <c r="G5" s="9">
        <v>543</v>
      </c>
      <c r="H5" s="9">
        <v>944</v>
      </c>
      <c r="I5" s="9">
        <v>848</v>
      </c>
      <c r="J5" s="9">
        <v>545</v>
      </c>
      <c r="K5" s="9">
        <v>808</v>
      </c>
      <c r="L5" s="9">
        <v>638</v>
      </c>
      <c r="M5" s="9">
        <v>841</v>
      </c>
      <c r="N5" s="9">
        <v>664</v>
      </c>
      <c r="O5" s="9">
        <v>546</v>
      </c>
      <c r="P5" s="9">
        <v>699</v>
      </c>
      <c r="Q5" s="9">
        <v>599</v>
      </c>
      <c r="R5" s="9">
        <v>903</v>
      </c>
      <c r="S5" s="9">
        <v>859</v>
      </c>
      <c r="T5" s="9">
        <v>748</v>
      </c>
      <c r="U5" s="9">
        <v>668</v>
      </c>
      <c r="V5" s="9">
        <v>888</v>
      </c>
      <c r="W5" s="10">
        <v>655</v>
      </c>
    </row>
    <row r="6" spans="1:23" x14ac:dyDescent="0.2">
      <c r="C6" s="5"/>
      <c r="W6" s="8"/>
    </row>
    <row r="7" spans="1:23" x14ac:dyDescent="0.2">
      <c r="C7" s="16" t="s">
        <v>23</v>
      </c>
      <c r="D7" s="9">
        <v>398</v>
      </c>
      <c r="E7" s="9">
        <v>151</v>
      </c>
      <c r="F7" s="9">
        <v>129</v>
      </c>
      <c r="G7" s="9">
        <v>275</v>
      </c>
      <c r="H7" s="9">
        <v>291</v>
      </c>
      <c r="I7" s="9">
        <v>80</v>
      </c>
      <c r="J7" s="9">
        <v>203</v>
      </c>
      <c r="K7" s="9">
        <v>150</v>
      </c>
      <c r="L7" s="9">
        <v>282</v>
      </c>
      <c r="M7" s="9">
        <v>214</v>
      </c>
      <c r="N7" s="9">
        <v>224</v>
      </c>
      <c r="O7" s="9">
        <v>225</v>
      </c>
      <c r="P7" s="9">
        <v>101</v>
      </c>
      <c r="Q7" s="9">
        <v>255</v>
      </c>
      <c r="R7" s="9">
        <v>228</v>
      </c>
      <c r="S7" s="9">
        <v>303</v>
      </c>
      <c r="T7" s="9">
        <v>133</v>
      </c>
      <c r="U7" s="9">
        <v>197</v>
      </c>
      <c r="V7" s="9">
        <v>313</v>
      </c>
      <c r="W7" s="10">
        <v>152</v>
      </c>
    </row>
    <row r="8" spans="1:23" x14ac:dyDescent="0.2">
      <c r="C8" s="16" t="s">
        <v>24</v>
      </c>
      <c r="D8" s="9">
        <v>180</v>
      </c>
      <c r="E8" s="9">
        <v>269</v>
      </c>
      <c r="F8" s="9">
        <v>189</v>
      </c>
      <c r="G8" s="9">
        <v>218</v>
      </c>
      <c r="H8" s="9">
        <v>252</v>
      </c>
      <c r="I8" s="9">
        <v>283</v>
      </c>
      <c r="J8" s="9">
        <v>220</v>
      </c>
      <c r="K8" s="9">
        <v>113</v>
      </c>
      <c r="L8" s="9">
        <v>141</v>
      </c>
      <c r="M8" s="9">
        <v>254</v>
      </c>
      <c r="N8" s="9">
        <v>271</v>
      </c>
      <c r="O8" s="9">
        <v>150</v>
      </c>
      <c r="P8" s="9">
        <v>218</v>
      </c>
      <c r="Q8" s="9">
        <v>202</v>
      </c>
      <c r="R8" s="9">
        <v>351</v>
      </c>
      <c r="S8" s="9">
        <v>173</v>
      </c>
      <c r="T8" s="9">
        <v>427</v>
      </c>
      <c r="U8" s="9">
        <v>98</v>
      </c>
      <c r="V8" s="9">
        <v>278</v>
      </c>
      <c r="W8" s="10">
        <v>211</v>
      </c>
    </row>
    <row r="9" spans="1:23" x14ac:dyDescent="0.2">
      <c r="C9" s="16" t="s">
        <v>25</v>
      </c>
      <c r="D9" s="9">
        <v>368</v>
      </c>
      <c r="E9" s="9">
        <v>248</v>
      </c>
      <c r="F9" s="9">
        <v>308</v>
      </c>
      <c r="G9" s="9">
        <v>220</v>
      </c>
      <c r="H9" s="9">
        <v>228</v>
      </c>
      <c r="I9" s="9">
        <v>285</v>
      </c>
      <c r="J9" s="9">
        <v>77</v>
      </c>
      <c r="K9" s="9">
        <v>143</v>
      </c>
      <c r="L9" s="9">
        <v>160</v>
      </c>
      <c r="M9" s="9">
        <v>355</v>
      </c>
      <c r="N9" s="9">
        <v>130</v>
      </c>
      <c r="O9" s="9">
        <v>33</v>
      </c>
      <c r="P9" s="9">
        <v>272</v>
      </c>
      <c r="Q9" s="9">
        <v>70</v>
      </c>
      <c r="R9" s="9">
        <v>240</v>
      </c>
      <c r="S9" s="9">
        <v>431</v>
      </c>
      <c r="T9" s="9">
        <v>220</v>
      </c>
      <c r="U9" s="9">
        <v>214</v>
      </c>
      <c r="V9" s="9">
        <v>291</v>
      </c>
      <c r="W9" s="10">
        <v>134</v>
      </c>
    </row>
    <row r="10" spans="1:23" x14ac:dyDescent="0.2">
      <c r="C10" s="16" t="s">
        <v>26</v>
      </c>
      <c r="D10" s="9">
        <v>111</v>
      </c>
      <c r="E10" s="9">
        <v>139</v>
      </c>
      <c r="F10" s="9">
        <v>56</v>
      </c>
      <c r="G10" s="9">
        <v>54</v>
      </c>
      <c r="H10" s="9">
        <v>123</v>
      </c>
      <c r="I10" s="9">
        <v>119</v>
      </c>
      <c r="J10" s="9">
        <v>54</v>
      </c>
      <c r="K10" s="9">
        <v>67</v>
      </c>
      <c r="L10" s="9">
        <v>37</v>
      </c>
      <c r="M10" s="9">
        <v>130</v>
      </c>
      <c r="N10" s="9">
        <v>51</v>
      </c>
      <c r="O10" s="9">
        <v>35</v>
      </c>
      <c r="P10" s="9">
        <v>43</v>
      </c>
      <c r="Q10" s="9">
        <v>3</v>
      </c>
      <c r="R10" s="9">
        <v>60</v>
      </c>
      <c r="S10" s="9">
        <v>60</v>
      </c>
      <c r="T10" s="9">
        <v>59</v>
      </c>
      <c r="U10" s="9">
        <v>95</v>
      </c>
      <c r="V10" s="9">
        <v>66</v>
      </c>
      <c r="W10" s="10">
        <v>85</v>
      </c>
    </row>
    <row r="11" spans="1:23" x14ac:dyDescent="0.2">
      <c r="C11" s="16" t="s">
        <v>27</v>
      </c>
      <c r="D11" s="9">
        <v>108</v>
      </c>
      <c r="E11" s="9">
        <v>86</v>
      </c>
      <c r="F11" s="9">
        <v>61</v>
      </c>
      <c r="G11" s="9">
        <v>70</v>
      </c>
      <c r="H11" s="9">
        <v>141</v>
      </c>
      <c r="I11" s="9">
        <v>84</v>
      </c>
      <c r="J11" s="9">
        <v>44</v>
      </c>
      <c r="K11" s="9">
        <v>101</v>
      </c>
      <c r="L11" s="9">
        <v>55</v>
      </c>
      <c r="M11" s="9">
        <v>72</v>
      </c>
      <c r="N11" s="9">
        <v>79</v>
      </c>
      <c r="O11" s="9">
        <v>107</v>
      </c>
      <c r="P11" s="9">
        <v>90</v>
      </c>
      <c r="Q11" s="9">
        <v>75</v>
      </c>
      <c r="R11" s="9">
        <v>93</v>
      </c>
      <c r="S11" s="9">
        <v>90</v>
      </c>
      <c r="T11" s="9">
        <v>40</v>
      </c>
      <c r="U11" s="9">
        <v>96</v>
      </c>
      <c r="V11" s="9">
        <v>75</v>
      </c>
      <c r="W11" s="10">
        <v>59</v>
      </c>
    </row>
    <row r="12" spans="1:23" x14ac:dyDescent="0.2">
      <c r="C12" s="17" t="s">
        <v>28</v>
      </c>
      <c r="D12" s="11">
        <v>123</v>
      </c>
      <c r="E12" s="11">
        <v>83</v>
      </c>
      <c r="F12" s="11">
        <v>23</v>
      </c>
      <c r="G12" s="11">
        <v>59</v>
      </c>
      <c r="H12" s="11">
        <v>70</v>
      </c>
      <c r="I12" s="11">
        <v>37</v>
      </c>
      <c r="J12" s="11">
        <v>42</v>
      </c>
      <c r="K12" s="11">
        <v>43</v>
      </c>
      <c r="L12" s="11">
        <v>64</v>
      </c>
      <c r="M12" s="11">
        <v>62</v>
      </c>
      <c r="N12" s="11">
        <v>58</v>
      </c>
      <c r="O12" s="11">
        <v>63</v>
      </c>
      <c r="P12" s="11">
        <v>71</v>
      </c>
      <c r="Q12" s="11">
        <v>83</v>
      </c>
      <c r="R12" s="11">
        <v>80</v>
      </c>
      <c r="S12" s="11">
        <v>41</v>
      </c>
      <c r="T12" s="11">
        <v>39</v>
      </c>
      <c r="U12" s="11">
        <v>74</v>
      </c>
      <c r="V12" s="11">
        <v>74</v>
      </c>
      <c r="W12" s="12">
        <v>70</v>
      </c>
    </row>
    <row r="14" spans="1:23" ht="32" x14ac:dyDescent="0.2">
      <c r="B14" s="20" t="s">
        <v>36</v>
      </c>
      <c r="C14" s="21" t="s">
        <v>23</v>
      </c>
      <c r="D14" s="15">
        <v>2500</v>
      </c>
    </row>
    <row r="15" spans="1:23" x14ac:dyDescent="0.2">
      <c r="C15" s="16" t="s">
        <v>24</v>
      </c>
      <c r="D15" s="10">
        <v>2800</v>
      </c>
    </row>
    <row r="16" spans="1:23" x14ac:dyDescent="0.2">
      <c r="C16" s="16" t="s">
        <v>25</v>
      </c>
      <c r="D16" s="10">
        <v>2900</v>
      </c>
    </row>
    <row r="17" spans="1:23" x14ac:dyDescent="0.2">
      <c r="C17" s="16" t="s">
        <v>26</v>
      </c>
      <c r="D17" s="10">
        <v>900</v>
      </c>
    </row>
    <row r="18" spans="1:23" x14ac:dyDescent="0.2">
      <c r="C18" s="16" t="s">
        <v>27</v>
      </c>
      <c r="D18" s="10">
        <v>900</v>
      </c>
    </row>
    <row r="19" spans="1:23" x14ac:dyDescent="0.2">
      <c r="C19" s="17" t="s">
        <v>28</v>
      </c>
      <c r="D19" s="12">
        <v>900</v>
      </c>
    </row>
    <row r="22" spans="1:23" x14ac:dyDescent="0.2">
      <c r="A22" s="1" t="s">
        <v>29</v>
      </c>
      <c r="C22" s="18" t="s">
        <v>44</v>
      </c>
      <c r="D22" s="13" t="s">
        <v>2</v>
      </c>
      <c r="E22" s="14" t="s">
        <v>3</v>
      </c>
      <c r="F22" s="14" t="s">
        <v>4</v>
      </c>
      <c r="G22" s="14" t="s">
        <v>5</v>
      </c>
      <c r="H22" s="14" t="s">
        <v>6</v>
      </c>
      <c r="I22" s="14" t="s">
        <v>7</v>
      </c>
      <c r="J22" s="14" t="s">
        <v>8</v>
      </c>
      <c r="K22" s="14" t="s">
        <v>9</v>
      </c>
      <c r="L22" s="14" t="s">
        <v>10</v>
      </c>
      <c r="M22" s="14" t="s">
        <v>11</v>
      </c>
      <c r="N22" s="14" t="s">
        <v>12</v>
      </c>
      <c r="O22" s="14" t="s">
        <v>13</v>
      </c>
      <c r="P22" s="14" t="s">
        <v>14</v>
      </c>
      <c r="Q22" s="14" t="s">
        <v>15</v>
      </c>
      <c r="R22" s="14" t="s">
        <v>16</v>
      </c>
      <c r="S22" s="14" t="s">
        <v>17</v>
      </c>
      <c r="T22" s="14" t="s">
        <v>18</v>
      </c>
      <c r="U22" s="14" t="s">
        <v>19</v>
      </c>
      <c r="V22" s="14" t="s">
        <v>20</v>
      </c>
      <c r="W22" s="19" t="s">
        <v>21</v>
      </c>
    </row>
    <row r="23" spans="1:23" x14ac:dyDescent="0.2">
      <c r="A23" s="1"/>
      <c r="D23" s="2">
        <v>1</v>
      </c>
      <c r="E23" s="3">
        <v>1</v>
      </c>
      <c r="F23" s="3">
        <v>1</v>
      </c>
      <c r="G23" s="3">
        <v>0</v>
      </c>
      <c r="H23" s="3">
        <v>0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0</v>
      </c>
      <c r="O23" s="3">
        <v>0</v>
      </c>
      <c r="P23" s="3">
        <v>1</v>
      </c>
      <c r="Q23" s="3">
        <v>1</v>
      </c>
      <c r="R23" s="3">
        <v>0</v>
      </c>
      <c r="S23" s="3">
        <v>0</v>
      </c>
      <c r="T23" s="3">
        <v>1</v>
      </c>
      <c r="U23" s="3">
        <v>0</v>
      </c>
      <c r="V23" s="3">
        <v>1</v>
      </c>
      <c r="W23" s="4">
        <v>0</v>
      </c>
    </row>
    <row r="24" spans="1:23" x14ac:dyDescent="0.2">
      <c r="A24" s="1"/>
    </row>
    <row r="25" spans="1:23" x14ac:dyDescent="0.2">
      <c r="A25" s="1" t="s">
        <v>31</v>
      </c>
    </row>
    <row r="26" spans="1:23" ht="32" x14ac:dyDescent="0.2">
      <c r="A26" s="1"/>
      <c r="C26" s="6" t="s">
        <v>30</v>
      </c>
      <c r="D26" s="7">
        <f>SUMPRODUCT(D23:W23,D5:W5)</f>
        <v>9251</v>
      </c>
    </row>
    <row r="27" spans="1:23" x14ac:dyDescent="0.2">
      <c r="A27" s="1"/>
    </row>
    <row r="28" spans="1:23" x14ac:dyDescent="0.2">
      <c r="A28" s="1" t="s">
        <v>32</v>
      </c>
      <c r="C28" s="22" t="s">
        <v>33</v>
      </c>
      <c r="D28" s="23" t="s">
        <v>34</v>
      </c>
      <c r="E28" s="23"/>
      <c r="F28" s="24" t="s">
        <v>35</v>
      </c>
    </row>
    <row r="29" spans="1:23" x14ac:dyDescent="0.2">
      <c r="B29" s="1"/>
      <c r="C29" s="16" t="s">
        <v>23</v>
      </c>
      <c r="D29">
        <f>SUMPRODUCT(D7:W7,$D$23:$W$23)</f>
        <v>2409</v>
      </c>
      <c r="E29" t="s">
        <v>38</v>
      </c>
      <c r="F29" s="8">
        <f>D14</f>
        <v>2500</v>
      </c>
    </row>
    <row r="30" spans="1:23" x14ac:dyDescent="0.2">
      <c r="B30" s="1"/>
      <c r="C30" s="16" t="s">
        <v>24</v>
      </c>
      <c r="D30">
        <f t="shared" ref="D30:D34" si="0">SUMPRODUCT(D8:W8,$D$23:$W$23)</f>
        <v>2774</v>
      </c>
      <c r="E30" t="s">
        <v>38</v>
      </c>
      <c r="F30" s="8">
        <f t="shared" ref="F30:F34" si="1">D15</f>
        <v>2800</v>
      </c>
    </row>
    <row r="31" spans="1:23" x14ac:dyDescent="0.2">
      <c r="B31" s="1"/>
      <c r="C31" s="16" t="s">
        <v>25</v>
      </c>
      <c r="D31">
        <f t="shared" si="0"/>
        <v>2797</v>
      </c>
      <c r="E31" t="s">
        <v>38</v>
      </c>
      <c r="F31" s="8">
        <f t="shared" si="1"/>
        <v>2900</v>
      </c>
    </row>
    <row r="32" spans="1:23" x14ac:dyDescent="0.2">
      <c r="B32" s="1"/>
      <c r="C32" s="16" t="s">
        <v>26</v>
      </c>
      <c r="D32">
        <f t="shared" si="0"/>
        <v>884</v>
      </c>
      <c r="E32" t="s">
        <v>38</v>
      </c>
      <c r="F32" s="8">
        <f t="shared" si="1"/>
        <v>900</v>
      </c>
    </row>
    <row r="33" spans="3:6" x14ac:dyDescent="0.2">
      <c r="C33" s="16" t="s">
        <v>27</v>
      </c>
      <c r="D33">
        <f t="shared" si="0"/>
        <v>891</v>
      </c>
      <c r="E33" t="s">
        <v>38</v>
      </c>
      <c r="F33" s="8">
        <f t="shared" si="1"/>
        <v>900</v>
      </c>
    </row>
    <row r="34" spans="3:6" x14ac:dyDescent="0.2">
      <c r="C34" s="16" t="s">
        <v>28</v>
      </c>
      <c r="D34">
        <f t="shared" si="0"/>
        <v>744</v>
      </c>
      <c r="E34" t="s">
        <v>38</v>
      </c>
      <c r="F34" s="8">
        <f t="shared" si="1"/>
        <v>900</v>
      </c>
    </row>
    <row r="35" spans="3:6" x14ac:dyDescent="0.2">
      <c r="C35" s="29" t="s">
        <v>41</v>
      </c>
      <c r="D35" s="30">
        <f>D23</f>
        <v>1</v>
      </c>
      <c r="E35" s="30" t="s">
        <v>43</v>
      </c>
      <c r="F35" s="31">
        <f>E23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5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2.1640625" customWidth="1"/>
    <col min="2" max="2" width="10.5" customWidth="1"/>
    <col min="3" max="3" width="19.5" customWidth="1"/>
    <col min="4" max="12" width="8.83203125" bestFit="1" customWidth="1"/>
    <col min="13" max="23" width="9.83203125" bestFit="1" customWidth="1"/>
  </cols>
  <sheetData>
    <row r="1" spans="1:23" x14ac:dyDescent="0.2">
      <c r="A1" s="1" t="s">
        <v>45</v>
      </c>
    </row>
    <row r="3" spans="1:23" x14ac:dyDescent="0.2">
      <c r="A3" s="1" t="s">
        <v>1</v>
      </c>
      <c r="B3" s="1"/>
    </row>
    <row r="4" spans="1:23" x14ac:dyDescent="0.2">
      <c r="B4" t="s">
        <v>37</v>
      </c>
      <c r="C4" s="13"/>
      <c r="D4" s="14" t="s">
        <v>2</v>
      </c>
      <c r="E4" s="14" t="s">
        <v>3</v>
      </c>
      <c r="F4" s="14" t="s">
        <v>4</v>
      </c>
      <c r="G4" s="14" t="s">
        <v>5</v>
      </c>
      <c r="H4" s="14" t="s">
        <v>6</v>
      </c>
      <c r="I4" s="14" t="s">
        <v>7</v>
      </c>
      <c r="J4" s="14" t="s">
        <v>8</v>
      </c>
      <c r="K4" s="14" t="s">
        <v>9</v>
      </c>
      <c r="L4" s="14" t="s">
        <v>10</v>
      </c>
      <c r="M4" s="14" t="s">
        <v>11</v>
      </c>
      <c r="N4" s="14" t="s">
        <v>12</v>
      </c>
      <c r="O4" s="14" t="s">
        <v>13</v>
      </c>
      <c r="P4" s="14" t="s">
        <v>14</v>
      </c>
      <c r="Q4" s="14" t="s">
        <v>15</v>
      </c>
      <c r="R4" s="14" t="s">
        <v>16</v>
      </c>
      <c r="S4" s="14" t="s">
        <v>17</v>
      </c>
      <c r="T4" s="14" t="s">
        <v>18</v>
      </c>
      <c r="U4" s="14" t="s">
        <v>19</v>
      </c>
      <c r="V4" s="14" t="s">
        <v>20</v>
      </c>
      <c r="W4" s="15" t="s">
        <v>21</v>
      </c>
    </row>
    <row r="5" spans="1:23" x14ac:dyDescent="0.2">
      <c r="C5" s="16" t="s">
        <v>22</v>
      </c>
      <c r="D5" s="9">
        <v>928</v>
      </c>
      <c r="E5" s="9">
        <v>908</v>
      </c>
      <c r="F5" s="9">
        <v>801</v>
      </c>
      <c r="G5" s="9">
        <v>543</v>
      </c>
      <c r="H5" s="9">
        <v>944</v>
      </c>
      <c r="I5" s="9">
        <v>848</v>
      </c>
      <c r="J5" s="9">
        <v>545</v>
      </c>
      <c r="K5" s="9">
        <v>808</v>
      </c>
      <c r="L5" s="9">
        <v>638</v>
      </c>
      <c r="M5" s="9">
        <v>841</v>
      </c>
      <c r="N5" s="9">
        <v>664</v>
      </c>
      <c r="O5" s="9">
        <v>546</v>
      </c>
      <c r="P5" s="9">
        <v>699</v>
      </c>
      <c r="Q5" s="9">
        <v>599</v>
      </c>
      <c r="R5" s="9">
        <v>903</v>
      </c>
      <c r="S5" s="9">
        <v>859</v>
      </c>
      <c r="T5" s="9">
        <v>748</v>
      </c>
      <c r="U5" s="9">
        <v>668</v>
      </c>
      <c r="V5" s="9">
        <v>888</v>
      </c>
      <c r="W5" s="10">
        <v>655</v>
      </c>
    </row>
    <row r="6" spans="1:23" x14ac:dyDescent="0.2">
      <c r="C6" s="5"/>
      <c r="W6" s="8"/>
    </row>
    <row r="7" spans="1:23" x14ac:dyDescent="0.2">
      <c r="C7" s="16" t="s">
        <v>23</v>
      </c>
      <c r="D7" s="9">
        <v>398</v>
      </c>
      <c r="E7" s="9">
        <v>151</v>
      </c>
      <c r="F7" s="9">
        <v>129</v>
      </c>
      <c r="G7" s="9">
        <v>275</v>
      </c>
      <c r="H7" s="9">
        <v>291</v>
      </c>
      <c r="I7" s="9">
        <v>80</v>
      </c>
      <c r="J7" s="9">
        <v>203</v>
      </c>
      <c r="K7" s="9">
        <v>150</v>
      </c>
      <c r="L7" s="9">
        <v>282</v>
      </c>
      <c r="M7" s="9">
        <v>214</v>
      </c>
      <c r="N7" s="9">
        <v>224</v>
      </c>
      <c r="O7" s="9">
        <v>225</v>
      </c>
      <c r="P7" s="9">
        <v>101</v>
      </c>
      <c r="Q7" s="9">
        <v>255</v>
      </c>
      <c r="R7" s="9">
        <v>228</v>
      </c>
      <c r="S7" s="9">
        <v>303</v>
      </c>
      <c r="T7" s="9">
        <v>133</v>
      </c>
      <c r="U7" s="9">
        <v>197</v>
      </c>
      <c r="V7" s="9">
        <v>313</v>
      </c>
      <c r="W7" s="10">
        <v>152</v>
      </c>
    </row>
    <row r="8" spans="1:23" x14ac:dyDescent="0.2">
      <c r="C8" s="16" t="s">
        <v>24</v>
      </c>
      <c r="D8" s="9">
        <v>180</v>
      </c>
      <c r="E8" s="9">
        <v>269</v>
      </c>
      <c r="F8" s="9">
        <v>189</v>
      </c>
      <c r="G8" s="9">
        <v>218</v>
      </c>
      <c r="H8" s="9">
        <v>252</v>
      </c>
      <c r="I8" s="9">
        <v>283</v>
      </c>
      <c r="J8" s="9">
        <v>220</v>
      </c>
      <c r="K8" s="9">
        <v>113</v>
      </c>
      <c r="L8" s="9">
        <v>141</v>
      </c>
      <c r="M8" s="9">
        <v>254</v>
      </c>
      <c r="N8" s="9">
        <v>271</v>
      </c>
      <c r="O8" s="9">
        <v>150</v>
      </c>
      <c r="P8" s="9">
        <v>218</v>
      </c>
      <c r="Q8" s="9">
        <v>202</v>
      </c>
      <c r="R8" s="9">
        <v>351</v>
      </c>
      <c r="S8" s="9">
        <v>173</v>
      </c>
      <c r="T8" s="9">
        <v>427</v>
      </c>
      <c r="U8" s="9">
        <v>98</v>
      </c>
      <c r="V8" s="9">
        <v>278</v>
      </c>
      <c r="W8" s="10">
        <v>211</v>
      </c>
    </row>
    <row r="9" spans="1:23" x14ac:dyDescent="0.2">
      <c r="C9" s="16" t="s">
        <v>25</v>
      </c>
      <c r="D9" s="9">
        <v>368</v>
      </c>
      <c r="E9" s="9">
        <v>248</v>
      </c>
      <c r="F9" s="9">
        <v>308</v>
      </c>
      <c r="G9" s="9">
        <v>220</v>
      </c>
      <c r="H9" s="9">
        <v>228</v>
      </c>
      <c r="I9" s="9">
        <v>285</v>
      </c>
      <c r="J9" s="9">
        <v>77</v>
      </c>
      <c r="K9" s="9">
        <v>143</v>
      </c>
      <c r="L9" s="9">
        <v>160</v>
      </c>
      <c r="M9" s="9">
        <v>355</v>
      </c>
      <c r="N9" s="9">
        <v>130</v>
      </c>
      <c r="O9" s="9">
        <v>33</v>
      </c>
      <c r="P9" s="9">
        <v>272</v>
      </c>
      <c r="Q9" s="9">
        <v>70</v>
      </c>
      <c r="R9" s="9">
        <v>240</v>
      </c>
      <c r="S9" s="9">
        <v>431</v>
      </c>
      <c r="T9" s="9">
        <v>220</v>
      </c>
      <c r="U9" s="9">
        <v>214</v>
      </c>
      <c r="V9" s="9">
        <v>291</v>
      </c>
      <c r="W9" s="10">
        <v>134</v>
      </c>
    </row>
    <row r="10" spans="1:23" x14ac:dyDescent="0.2">
      <c r="C10" s="16" t="s">
        <v>26</v>
      </c>
      <c r="D10" s="9">
        <v>111</v>
      </c>
      <c r="E10" s="9">
        <v>139</v>
      </c>
      <c r="F10" s="9">
        <v>56</v>
      </c>
      <c r="G10" s="9">
        <v>54</v>
      </c>
      <c r="H10" s="9">
        <v>123</v>
      </c>
      <c r="I10" s="9">
        <v>119</v>
      </c>
      <c r="J10" s="9">
        <v>54</v>
      </c>
      <c r="K10" s="9">
        <v>67</v>
      </c>
      <c r="L10" s="9">
        <v>37</v>
      </c>
      <c r="M10" s="9">
        <v>130</v>
      </c>
      <c r="N10" s="9">
        <v>51</v>
      </c>
      <c r="O10" s="9">
        <v>35</v>
      </c>
      <c r="P10" s="9">
        <v>43</v>
      </c>
      <c r="Q10" s="9">
        <v>3</v>
      </c>
      <c r="R10" s="9">
        <v>60</v>
      </c>
      <c r="S10" s="9">
        <v>60</v>
      </c>
      <c r="T10" s="9">
        <v>59</v>
      </c>
      <c r="U10" s="9">
        <v>95</v>
      </c>
      <c r="V10" s="9">
        <v>66</v>
      </c>
      <c r="W10" s="10">
        <v>85</v>
      </c>
    </row>
    <row r="11" spans="1:23" x14ac:dyDescent="0.2">
      <c r="C11" s="16" t="s">
        <v>27</v>
      </c>
      <c r="D11" s="9">
        <v>108</v>
      </c>
      <c r="E11" s="9">
        <v>86</v>
      </c>
      <c r="F11" s="9">
        <v>61</v>
      </c>
      <c r="G11" s="9">
        <v>70</v>
      </c>
      <c r="H11" s="9">
        <v>141</v>
      </c>
      <c r="I11" s="9">
        <v>84</v>
      </c>
      <c r="J11" s="9">
        <v>44</v>
      </c>
      <c r="K11" s="9">
        <v>101</v>
      </c>
      <c r="L11" s="9">
        <v>55</v>
      </c>
      <c r="M11" s="9">
        <v>72</v>
      </c>
      <c r="N11" s="9">
        <v>79</v>
      </c>
      <c r="O11" s="9">
        <v>107</v>
      </c>
      <c r="P11" s="9">
        <v>90</v>
      </c>
      <c r="Q11" s="9">
        <v>75</v>
      </c>
      <c r="R11" s="9">
        <v>93</v>
      </c>
      <c r="S11" s="9">
        <v>90</v>
      </c>
      <c r="T11" s="9">
        <v>40</v>
      </c>
      <c r="U11" s="9">
        <v>96</v>
      </c>
      <c r="V11" s="9">
        <v>75</v>
      </c>
      <c r="W11" s="10">
        <v>59</v>
      </c>
    </row>
    <row r="12" spans="1:23" x14ac:dyDescent="0.2">
      <c r="C12" s="17" t="s">
        <v>28</v>
      </c>
      <c r="D12" s="11">
        <v>123</v>
      </c>
      <c r="E12" s="11">
        <v>83</v>
      </c>
      <c r="F12" s="11">
        <v>23</v>
      </c>
      <c r="G12" s="11">
        <v>59</v>
      </c>
      <c r="H12" s="11">
        <v>70</v>
      </c>
      <c r="I12" s="11">
        <v>37</v>
      </c>
      <c r="J12" s="11">
        <v>42</v>
      </c>
      <c r="K12" s="11">
        <v>43</v>
      </c>
      <c r="L12" s="11">
        <v>64</v>
      </c>
      <c r="M12" s="11">
        <v>62</v>
      </c>
      <c r="N12" s="11">
        <v>58</v>
      </c>
      <c r="O12" s="11">
        <v>63</v>
      </c>
      <c r="P12" s="11">
        <v>71</v>
      </c>
      <c r="Q12" s="11">
        <v>83</v>
      </c>
      <c r="R12" s="11">
        <v>80</v>
      </c>
      <c r="S12" s="11">
        <v>41</v>
      </c>
      <c r="T12" s="11">
        <v>39</v>
      </c>
      <c r="U12" s="11">
        <v>74</v>
      </c>
      <c r="V12" s="11">
        <v>74</v>
      </c>
      <c r="W12" s="12">
        <v>70</v>
      </c>
    </row>
    <row r="14" spans="1:23" ht="32" x14ac:dyDescent="0.2">
      <c r="B14" s="20" t="s">
        <v>36</v>
      </c>
      <c r="C14" s="21" t="s">
        <v>23</v>
      </c>
      <c r="D14" s="15">
        <v>2500</v>
      </c>
    </row>
    <row r="15" spans="1:23" x14ac:dyDescent="0.2">
      <c r="C15" s="16" t="s">
        <v>24</v>
      </c>
      <c r="D15" s="10">
        <v>2800</v>
      </c>
    </row>
    <row r="16" spans="1:23" x14ac:dyDescent="0.2">
      <c r="C16" s="16" t="s">
        <v>25</v>
      </c>
      <c r="D16" s="10">
        <v>2900</v>
      </c>
    </row>
    <row r="17" spans="1:23" x14ac:dyDescent="0.2">
      <c r="C17" s="16" t="s">
        <v>26</v>
      </c>
      <c r="D17" s="10">
        <v>900</v>
      </c>
    </row>
    <row r="18" spans="1:23" x14ac:dyDescent="0.2">
      <c r="C18" s="16" t="s">
        <v>27</v>
      </c>
      <c r="D18" s="10">
        <v>900</v>
      </c>
    </row>
    <row r="19" spans="1:23" x14ac:dyDescent="0.2">
      <c r="C19" s="17" t="s">
        <v>28</v>
      </c>
      <c r="D19" s="12">
        <v>900</v>
      </c>
    </row>
    <row r="22" spans="1:23" x14ac:dyDescent="0.2">
      <c r="A22" s="1" t="s">
        <v>29</v>
      </c>
      <c r="C22" s="18" t="s">
        <v>44</v>
      </c>
      <c r="D22" s="13" t="s">
        <v>2</v>
      </c>
      <c r="E22" s="14" t="s">
        <v>3</v>
      </c>
      <c r="F22" s="14" t="s">
        <v>4</v>
      </c>
      <c r="G22" s="14" t="s">
        <v>5</v>
      </c>
      <c r="H22" s="14" t="s">
        <v>6</v>
      </c>
      <c r="I22" s="14" t="s">
        <v>7</v>
      </c>
      <c r="J22" s="14" t="s">
        <v>8</v>
      </c>
      <c r="K22" s="14" t="s">
        <v>9</v>
      </c>
      <c r="L22" s="14" t="s">
        <v>10</v>
      </c>
      <c r="M22" s="14" t="s">
        <v>11</v>
      </c>
      <c r="N22" s="14" t="s">
        <v>12</v>
      </c>
      <c r="O22" s="14" t="s">
        <v>13</v>
      </c>
      <c r="P22" s="14" t="s">
        <v>14</v>
      </c>
      <c r="Q22" s="14" t="s">
        <v>15</v>
      </c>
      <c r="R22" s="14" t="s">
        <v>16</v>
      </c>
      <c r="S22" s="14" t="s">
        <v>17</v>
      </c>
      <c r="T22" s="14" t="s">
        <v>18</v>
      </c>
      <c r="U22" s="14" t="s">
        <v>19</v>
      </c>
      <c r="V22" s="14" t="s">
        <v>20</v>
      </c>
      <c r="W22" s="19" t="s">
        <v>21</v>
      </c>
    </row>
    <row r="23" spans="1:23" x14ac:dyDescent="0.2">
      <c r="A23" s="1"/>
      <c r="D23" s="2">
        <v>0</v>
      </c>
      <c r="E23" s="3">
        <v>1</v>
      </c>
      <c r="F23" s="3">
        <v>1</v>
      </c>
      <c r="G23" s="3">
        <v>1</v>
      </c>
      <c r="H23" s="3">
        <v>0</v>
      </c>
      <c r="I23" s="3">
        <v>1</v>
      </c>
      <c r="J23" s="3">
        <v>1</v>
      </c>
      <c r="K23" s="3">
        <v>1</v>
      </c>
      <c r="L23" s="3">
        <v>1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4">
        <v>0</v>
      </c>
    </row>
    <row r="24" spans="1:23" x14ac:dyDescent="0.2">
      <c r="A24" s="1"/>
    </row>
    <row r="25" spans="1:23" x14ac:dyDescent="0.2">
      <c r="A25" s="1" t="s">
        <v>31</v>
      </c>
    </row>
    <row r="26" spans="1:23" ht="32" x14ac:dyDescent="0.2">
      <c r="A26" s="1"/>
      <c r="C26" s="6" t="s">
        <v>30</v>
      </c>
      <c r="D26" s="7">
        <f>SUMPRODUCT(D23:W23,D5:W5)</f>
        <v>9157</v>
      </c>
    </row>
    <row r="27" spans="1:23" x14ac:dyDescent="0.2">
      <c r="A27" s="1"/>
    </row>
    <row r="28" spans="1:23" x14ac:dyDescent="0.2">
      <c r="A28" s="1" t="s">
        <v>32</v>
      </c>
      <c r="C28" s="22" t="s">
        <v>33</v>
      </c>
      <c r="D28" s="23" t="s">
        <v>34</v>
      </c>
      <c r="E28" s="23"/>
      <c r="F28" s="24" t="s">
        <v>35</v>
      </c>
    </row>
    <row r="29" spans="1:23" x14ac:dyDescent="0.2">
      <c r="B29" s="1"/>
      <c r="C29" s="16" t="s">
        <v>23</v>
      </c>
      <c r="D29">
        <f>SUMPRODUCT(D7:W7,$D$23:$W$23)</f>
        <v>2444</v>
      </c>
      <c r="E29" t="s">
        <v>38</v>
      </c>
      <c r="F29" s="8">
        <f>D14</f>
        <v>2500</v>
      </c>
    </row>
    <row r="30" spans="1:23" x14ac:dyDescent="0.2">
      <c r="B30" s="1"/>
      <c r="C30" s="16" t="s">
        <v>24</v>
      </c>
      <c r="D30">
        <f t="shared" ref="D30:D34" si="0">SUMPRODUCT(D8:W8,$D$23:$W$23)</f>
        <v>2760</v>
      </c>
      <c r="E30" t="s">
        <v>38</v>
      </c>
      <c r="F30" s="8">
        <f t="shared" ref="F30:F34" si="1">D15</f>
        <v>2800</v>
      </c>
    </row>
    <row r="31" spans="1:23" x14ac:dyDescent="0.2">
      <c r="B31" s="1"/>
      <c r="C31" s="16" t="s">
        <v>25</v>
      </c>
      <c r="D31">
        <f t="shared" si="0"/>
        <v>2837</v>
      </c>
      <c r="E31" t="s">
        <v>38</v>
      </c>
      <c r="F31" s="8">
        <f t="shared" si="1"/>
        <v>2900</v>
      </c>
    </row>
    <row r="32" spans="1:23" x14ac:dyDescent="0.2">
      <c r="B32" s="1"/>
      <c r="C32" s="16" t="s">
        <v>26</v>
      </c>
      <c r="D32">
        <f t="shared" si="0"/>
        <v>866</v>
      </c>
      <c r="E32" t="s">
        <v>38</v>
      </c>
      <c r="F32" s="8">
        <f t="shared" si="1"/>
        <v>900</v>
      </c>
    </row>
    <row r="33" spans="3:6" x14ac:dyDescent="0.2">
      <c r="C33" s="16" t="s">
        <v>27</v>
      </c>
      <c r="D33">
        <f t="shared" si="0"/>
        <v>895</v>
      </c>
      <c r="E33" t="s">
        <v>38</v>
      </c>
      <c r="F33" s="8">
        <f t="shared" si="1"/>
        <v>900</v>
      </c>
    </row>
    <row r="34" spans="3:6" x14ac:dyDescent="0.2">
      <c r="C34" s="16" t="s">
        <v>28</v>
      </c>
      <c r="D34">
        <f t="shared" si="0"/>
        <v>659</v>
      </c>
      <c r="E34" t="s">
        <v>38</v>
      </c>
      <c r="F34" s="8">
        <f t="shared" si="1"/>
        <v>900</v>
      </c>
    </row>
    <row r="35" spans="3:6" x14ac:dyDescent="0.2">
      <c r="C35" s="29" t="s">
        <v>42</v>
      </c>
      <c r="D35" s="30">
        <f>F23</f>
        <v>1</v>
      </c>
      <c r="E35" s="30" t="s">
        <v>38</v>
      </c>
      <c r="F35" s="31">
        <f>G23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35"/>
  <sheetViews>
    <sheetView zoomScale="88" zoomScaleNormal="88" workbookViewId="0">
      <selection activeCell="C22" sqref="C22"/>
    </sheetView>
  </sheetViews>
  <sheetFormatPr baseColWidth="10" defaultColWidth="8.83203125" defaultRowHeight="15" x14ac:dyDescent="0.2"/>
  <cols>
    <col min="1" max="1" width="12.1640625" customWidth="1"/>
    <col min="2" max="2" width="10.5" customWidth="1"/>
    <col min="3" max="3" width="12.1640625" bestFit="1" customWidth="1"/>
    <col min="4" max="12" width="8.83203125" bestFit="1" customWidth="1"/>
    <col min="13" max="23" width="9.83203125" bestFit="1" customWidth="1"/>
  </cols>
  <sheetData>
    <row r="1" spans="1:23" x14ac:dyDescent="0.2">
      <c r="A1" s="1" t="s">
        <v>0</v>
      </c>
    </row>
    <row r="3" spans="1:23" x14ac:dyDescent="0.2">
      <c r="A3" s="1" t="s">
        <v>1</v>
      </c>
      <c r="B3" s="1"/>
    </row>
    <row r="4" spans="1:23" x14ac:dyDescent="0.2">
      <c r="B4" t="s">
        <v>37</v>
      </c>
      <c r="C4" s="13"/>
      <c r="D4" s="14" t="s">
        <v>2</v>
      </c>
      <c r="E4" s="14" t="s">
        <v>3</v>
      </c>
      <c r="F4" s="14" t="s">
        <v>4</v>
      </c>
      <c r="G4" s="14" t="s">
        <v>5</v>
      </c>
      <c r="H4" s="14" t="s">
        <v>6</v>
      </c>
      <c r="I4" s="14" t="s">
        <v>7</v>
      </c>
      <c r="J4" s="14" t="s">
        <v>8</v>
      </c>
      <c r="K4" s="14" t="s">
        <v>9</v>
      </c>
      <c r="L4" s="14" t="s">
        <v>10</v>
      </c>
      <c r="M4" s="14" t="s">
        <v>11</v>
      </c>
      <c r="N4" s="14" t="s">
        <v>12</v>
      </c>
      <c r="O4" s="14" t="s">
        <v>13</v>
      </c>
      <c r="P4" s="14" t="s">
        <v>14</v>
      </c>
      <c r="Q4" s="14" t="s">
        <v>15</v>
      </c>
      <c r="R4" s="14" t="s">
        <v>16</v>
      </c>
      <c r="S4" s="14" t="s">
        <v>17</v>
      </c>
      <c r="T4" s="14" t="s">
        <v>18</v>
      </c>
      <c r="U4" s="14" t="s">
        <v>19</v>
      </c>
      <c r="V4" s="14" t="s">
        <v>20</v>
      </c>
      <c r="W4" s="15" t="s">
        <v>21</v>
      </c>
    </row>
    <row r="5" spans="1:23" x14ac:dyDescent="0.2">
      <c r="C5" s="16" t="s">
        <v>22</v>
      </c>
      <c r="D5" s="9">
        <v>928</v>
      </c>
      <c r="E5" s="9">
        <v>908</v>
      </c>
      <c r="F5" s="9">
        <v>801</v>
      </c>
      <c r="G5" s="9">
        <v>543</v>
      </c>
      <c r="H5" s="9">
        <v>944</v>
      </c>
      <c r="I5" s="9">
        <v>848</v>
      </c>
      <c r="J5" s="9">
        <v>545</v>
      </c>
      <c r="K5" s="9">
        <v>808</v>
      </c>
      <c r="L5" s="9">
        <v>638</v>
      </c>
      <c r="M5" s="9">
        <v>841</v>
      </c>
      <c r="N5" s="9">
        <v>664</v>
      </c>
      <c r="O5" s="9">
        <v>546</v>
      </c>
      <c r="P5" s="9">
        <v>699</v>
      </c>
      <c r="Q5" s="9">
        <v>599</v>
      </c>
      <c r="R5" s="9">
        <v>903</v>
      </c>
      <c r="S5" s="9">
        <v>859</v>
      </c>
      <c r="T5" s="9">
        <v>748</v>
      </c>
      <c r="U5" s="9">
        <v>668</v>
      </c>
      <c r="V5" s="9">
        <v>888</v>
      </c>
      <c r="W5" s="10">
        <v>655</v>
      </c>
    </row>
    <row r="6" spans="1:23" x14ac:dyDescent="0.2">
      <c r="C6" s="5"/>
      <c r="W6" s="8"/>
    </row>
    <row r="7" spans="1:23" x14ac:dyDescent="0.2">
      <c r="C7" s="16" t="s">
        <v>23</v>
      </c>
      <c r="D7" s="9">
        <v>398</v>
      </c>
      <c r="E7" s="9">
        <v>151</v>
      </c>
      <c r="F7" s="9">
        <v>129</v>
      </c>
      <c r="G7" s="9">
        <v>275</v>
      </c>
      <c r="H7" s="9">
        <v>291</v>
      </c>
      <c r="I7" s="9">
        <v>80</v>
      </c>
      <c r="J7" s="9">
        <v>203</v>
      </c>
      <c r="K7" s="9">
        <v>150</v>
      </c>
      <c r="L7" s="9">
        <v>282</v>
      </c>
      <c r="M7" s="9">
        <v>214</v>
      </c>
      <c r="N7" s="9">
        <v>224</v>
      </c>
      <c r="O7" s="9">
        <v>225</v>
      </c>
      <c r="P7" s="9">
        <v>101</v>
      </c>
      <c r="Q7" s="9">
        <v>255</v>
      </c>
      <c r="R7" s="9">
        <v>228</v>
      </c>
      <c r="S7" s="9">
        <v>303</v>
      </c>
      <c r="T7" s="9">
        <v>133</v>
      </c>
      <c r="U7" s="9">
        <v>197</v>
      </c>
      <c r="V7" s="9">
        <v>313</v>
      </c>
      <c r="W7" s="10">
        <v>152</v>
      </c>
    </row>
    <row r="8" spans="1:23" x14ac:dyDescent="0.2">
      <c r="C8" s="16" t="s">
        <v>24</v>
      </c>
      <c r="D8" s="9">
        <v>180</v>
      </c>
      <c r="E8" s="9">
        <v>269</v>
      </c>
      <c r="F8" s="9">
        <v>189</v>
      </c>
      <c r="G8" s="9">
        <v>218</v>
      </c>
      <c r="H8" s="9">
        <v>252</v>
      </c>
      <c r="I8" s="9">
        <v>283</v>
      </c>
      <c r="J8" s="9">
        <v>220</v>
      </c>
      <c r="K8" s="9">
        <v>113</v>
      </c>
      <c r="L8" s="9">
        <v>141</v>
      </c>
      <c r="M8" s="9">
        <v>254</v>
      </c>
      <c r="N8" s="9">
        <v>271</v>
      </c>
      <c r="O8" s="9">
        <v>150</v>
      </c>
      <c r="P8" s="9">
        <v>218</v>
      </c>
      <c r="Q8" s="9">
        <v>202</v>
      </c>
      <c r="R8" s="9">
        <v>351</v>
      </c>
      <c r="S8" s="9">
        <v>173</v>
      </c>
      <c r="T8" s="9">
        <v>427</v>
      </c>
      <c r="U8" s="9">
        <v>98</v>
      </c>
      <c r="V8" s="9">
        <v>278</v>
      </c>
      <c r="W8" s="10">
        <v>211</v>
      </c>
    </row>
    <row r="9" spans="1:23" x14ac:dyDescent="0.2">
      <c r="C9" s="16" t="s">
        <v>25</v>
      </c>
      <c r="D9" s="9">
        <v>368</v>
      </c>
      <c r="E9" s="9">
        <v>248</v>
      </c>
      <c r="F9" s="9">
        <v>308</v>
      </c>
      <c r="G9" s="9">
        <v>220</v>
      </c>
      <c r="H9" s="9">
        <v>228</v>
      </c>
      <c r="I9" s="9">
        <v>285</v>
      </c>
      <c r="J9" s="9">
        <v>77</v>
      </c>
      <c r="K9" s="9">
        <v>143</v>
      </c>
      <c r="L9" s="9">
        <v>160</v>
      </c>
      <c r="M9" s="9">
        <v>355</v>
      </c>
      <c r="N9" s="9">
        <v>130</v>
      </c>
      <c r="O9" s="9">
        <v>33</v>
      </c>
      <c r="P9" s="9">
        <v>272</v>
      </c>
      <c r="Q9" s="9">
        <v>70</v>
      </c>
      <c r="R9" s="9">
        <v>240</v>
      </c>
      <c r="S9" s="9">
        <v>431</v>
      </c>
      <c r="T9" s="9">
        <v>220</v>
      </c>
      <c r="U9" s="9">
        <v>214</v>
      </c>
      <c r="V9" s="9">
        <v>291</v>
      </c>
      <c r="W9" s="10">
        <v>134</v>
      </c>
    </row>
    <row r="10" spans="1:23" x14ac:dyDescent="0.2">
      <c r="C10" s="16" t="s">
        <v>26</v>
      </c>
      <c r="D10" s="9">
        <v>111</v>
      </c>
      <c r="E10" s="9">
        <v>139</v>
      </c>
      <c r="F10" s="9">
        <v>56</v>
      </c>
      <c r="G10" s="9">
        <v>54</v>
      </c>
      <c r="H10" s="9">
        <v>123</v>
      </c>
      <c r="I10" s="9">
        <v>119</v>
      </c>
      <c r="J10" s="9">
        <v>54</v>
      </c>
      <c r="K10" s="9">
        <v>67</v>
      </c>
      <c r="L10" s="9">
        <v>37</v>
      </c>
      <c r="M10" s="9">
        <v>130</v>
      </c>
      <c r="N10" s="9">
        <v>51</v>
      </c>
      <c r="O10" s="9">
        <v>35</v>
      </c>
      <c r="P10" s="9">
        <v>43</v>
      </c>
      <c r="Q10" s="9">
        <v>3</v>
      </c>
      <c r="R10" s="9">
        <v>60</v>
      </c>
      <c r="S10" s="9">
        <v>60</v>
      </c>
      <c r="T10" s="9">
        <v>59</v>
      </c>
      <c r="U10" s="9">
        <v>95</v>
      </c>
      <c r="V10" s="9">
        <v>66</v>
      </c>
      <c r="W10" s="10">
        <v>85</v>
      </c>
    </row>
    <row r="11" spans="1:23" x14ac:dyDescent="0.2">
      <c r="C11" s="16" t="s">
        <v>27</v>
      </c>
      <c r="D11" s="9">
        <v>108</v>
      </c>
      <c r="E11" s="9">
        <v>86</v>
      </c>
      <c r="F11" s="9">
        <v>61</v>
      </c>
      <c r="G11" s="9">
        <v>70</v>
      </c>
      <c r="H11" s="9">
        <v>141</v>
      </c>
      <c r="I11" s="9">
        <v>84</v>
      </c>
      <c r="J11" s="9">
        <v>44</v>
      </c>
      <c r="K11" s="9">
        <v>101</v>
      </c>
      <c r="L11" s="9">
        <v>55</v>
      </c>
      <c r="M11" s="9">
        <v>72</v>
      </c>
      <c r="N11" s="9">
        <v>79</v>
      </c>
      <c r="O11" s="9">
        <v>107</v>
      </c>
      <c r="P11" s="9">
        <v>90</v>
      </c>
      <c r="Q11" s="9">
        <v>75</v>
      </c>
      <c r="R11" s="9">
        <v>93</v>
      </c>
      <c r="S11" s="9">
        <v>90</v>
      </c>
      <c r="T11" s="9">
        <v>40</v>
      </c>
      <c r="U11" s="9">
        <v>96</v>
      </c>
      <c r="V11" s="9">
        <v>75</v>
      </c>
      <c r="W11" s="10">
        <v>59</v>
      </c>
    </row>
    <row r="12" spans="1:23" x14ac:dyDescent="0.2">
      <c r="C12" s="17" t="s">
        <v>28</v>
      </c>
      <c r="D12" s="11">
        <v>123</v>
      </c>
      <c r="E12" s="11">
        <v>83</v>
      </c>
      <c r="F12" s="11">
        <v>23</v>
      </c>
      <c r="G12" s="11">
        <v>59</v>
      </c>
      <c r="H12" s="11">
        <v>70</v>
      </c>
      <c r="I12" s="11">
        <v>37</v>
      </c>
      <c r="J12" s="11">
        <v>42</v>
      </c>
      <c r="K12" s="11">
        <v>43</v>
      </c>
      <c r="L12" s="11">
        <v>64</v>
      </c>
      <c r="M12" s="11">
        <v>62</v>
      </c>
      <c r="N12" s="11">
        <v>58</v>
      </c>
      <c r="O12" s="11">
        <v>63</v>
      </c>
      <c r="P12" s="11">
        <v>71</v>
      </c>
      <c r="Q12" s="11">
        <v>83</v>
      </c>
      <c r="R12" s="11">
        <v>80</v>
      </c>
      <c r="S12" s="11">
        <v>41</v>
      </c>
      <c r="T12" s="11">
        <v>39</v>
      </c>
      <c r="U12" s="11">
        <v>74</v>
      </c>
      <c r="V12" s="11">
        <v>74</v>
      </c>
      <c r="W12" s="12">
        <v>70</v>
      </c>
    </row>
    <row r="14" spans="1:23" ht="32" x14ac:dyDescent="0.2">
      <c r="B14" s="20" t="s">
        <v>36</v>
      </c>
      <c r="C14" s="21" t="s">
        <v>23</v>
      </c>
      <c r="D14" s="15">
        <v>2500</v>
      </c>
    </row>
    <row r="15" spans="1:23" x14ac:dyDescent="0.2">
      <c r="C15" s="16" t="s">
        <v>24</v>
      </c>
      <c r="D15" s="10">
        <v>2800</v>
      </c>
    </row>
    <row r="16" spans="1:23" x14ac:dyDescent="0.2">
      <c r="C16" s="16" t="s">
        <v>25</v>
      </c>
      <c r="D16" s="10">
        <v>2900</v>
      </c>
    </row>
    <row r="17" spans="1:23" x14ac:dyDescent="0.2">
      <c r="C17" s="16" t="s">
        <v>26</v>
      </c>
      <c r="D17" s="10">
        <v>900</v>
      </c>
    </row>
    <row r="18" spans="1:23" x14ac:dyDescent="0.2">
      <c r="C18" s="16" t="s">
        <v>27</v>
      </c>
      <c r="D18" s="10">
        <v>900</v>
      </c>
    </row>
    <row r="19" spans="1:23" x14ac:dyDescent="0.2">
      <c r="C19" s="17" t="s">
        <v>28</v>
      </c>
      <c r="D19" s="12">
        <v>900</v>
      </c>
    </row>
    <row r="22" spans="1:23" x14ac:dyDescent="0.2">
      <c r="A22" s="1" t="s">
        <v>29</v>
      </c>
      <c r="C22" s="18" t="s">
        <v>44</v>
      </c>
      <c r="D22" s="13" t="s">
        <v>2</v>
      </c>
      <c r="E22" s="14" t="s">
        <v>3</v>
      </c>
      <c r="F22" s="14" t="s">
        <v>4</v>
      </c>
      <c r="G22" s="14" t="s">
        <v>5</v>
      </c>
      <c r="H22" s="14" t="s">
        <v>6</v>
      </c>
      <c r="I22" s="14" t="s">
        <v>7</v>
      </c>
      <c r="J22" s="14" t="s">
        <v>8</v>
      </c>
      <c r="K22" s="14" t="s">
        <v>9</v>
      </c>
      <c r="L22" s="14" t="s">
        <v>10</v>
      </c>
      <c r="M22" s="14" t="s">
        <v>11</v>
      </c>
      <c r="N22" s="14" t="s">
        <v>12</v>
      </c>
      <c r="O22" s="14" t="s">
        <v>13</v>
      </c>
      <c r="P22" s="14" t="s">
        <v>14</v>
      </c>
      <c r="Q22" s="14" t="s">
        <v>15</v>
      </c>
      <c r="R22" s="14" t="s">
        <v>16</v>
      </c>
      <c r="S22" s="14" t="s">
        <v>17</v>
      </c>
      <c r="T22" s="14" t="s">
        <v>18</v>
      </c>
      <c r="U22" s="14" t="s">
        <v>19</v>
      </c>
      <c r="V22" s="14" t="s">
        <v>20</v>
      </c>
      <c r="W22" s="19" t="s">
        <v>21</v>
      </c>
    </row>
    <row r="23" spans="1:23" x14ac:dyDescent="0.2">
      <c r="A23" s="1"/>
      <c r="D23" s="2">
        <v>0</v>
      </c>
      <c r="E23" s="3">
        <v>0</v>
      </c>
      <c r="F23" s="3">
        <v>1</v>
      </c>
      <c r="G23" s="3">
        <v>0</v>
      </c>
      <c r="H23" s="3">
        <v>0</v>
      </c>
      <c r="I23" s="3">
        <v>0</v>
      </c>
      <c r="J23" s="3">
        <v>1</v>
      </c>
      <c r="K23" s="3">
        <v>1</v>
      </c>
      <c r="L23" s="3">
        <v>0</v>
      </c>
      <c r="M23" s="3">
        <v>1</v>
      </c>
      <c r="N23" s="3">
        <v>0</v>
      </c>
      <c r="O23" s="3">
        <v>0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4">
        <v>1</v>
      </c>
    </row>
    <row r="24" spans="1:23" x14ac:dyDescent="0.2">
      <c r="A24" s="1"/>
    </row>
    <row r="25" spans="1:23" x14ac:dyDescent="0.2">
      <c r="A25" s="1" t="s">
        <v>31</v>
      </c>
    </row>
    <row r="26" spans="1:23" ht="48" x14ac:dyDescent="0.2">
      <c r="A26" s="1"/>
      <c r="C26" s="6" t="s">
        <v>30</v>
      </c>
      <c r="D26" s="7">
        <f>SUMPRODUCT(D23:W23,D5:W5)</f>
        <v>9014</v>
      </c>
    </row>
    <row r="27" spans="1:23" x14ac:dyDescent="0.2">
      <c r="A27" s="1"/>
    </row>
    <row r="28" spans="1:23" x14ac:dyDescent="0.2">
      <c r="A28" s="1" t="s">
        <v>32</v>
      </c>
      <c r="C28" s="22" t="s">
        <v>33</v>
      </c>
      <c r="D28" s="23" t="s">
        <v>34</v>
      </c>
      <c r="E28" s="23"/>
      <c r="F28" s="24" t="s">
        <v>35</v>
      </c>
    </row>
    <row r="29" spans="1:23" x14ac:dyDescent="0.2">
      <c r="B29" s="1"/>
      <c r="C29" s="16" t="s">
        <v>23</v>
      </c>
      <c r="D29">
        <f>SUMPRODUCT(D7:W7,$D$23:$W$23)</f>
        <v>2378</v>
      </c>
      <c r="E29" t="s">
        <v>38</v>
      </c>
      <c r="F29" s="8">
        <f>D14</f>
        <v>2500</v>
      </c>
    </row>
    <row r="30" spans="1:23" x14ac:dyDescent="0.2">
      <c r="B30" s="1"/>
      <c r="C30" s="16" t="s">
        <v>24</v>
      </c>
      <c r="D30">
        <f t="shared" ref="D30:D34" si="0">SUMPRODUCT(D8:W8,$D$23:$W$23)</f>
        <v>2734</v>
      </c>
      <c r="E30" t="s">
        <v>38</v>
      </c>
      <c r="F30" s="8">
        <f t="shared" ref="F30:F34" si="1">D15</f>
        <v>2800</v>
      </c>
    </row>
    <row r="31" spans="1:23" x14ac:dyDescent="0.2">
      <c r="B31" s="1"/>
      <c r="C31" s="16" t="s">
        <v>25</v>
      </c>
      <c r="D31">
        <f t="shared" si="0"/>
        <v>2755</v>
      </c>
      <c r="E31" t="s">
        <v>38</v>
      </c>
      <c r="F31" s="8">
        <f t="shared" si="1"/>
        <v>2900</v>
      </c>
    </row>
    <row r="32" spans="1:23" x14ac:dyDescent="0.2">
      <c r="B32" s="1"/>
      <c r="C32" s="16" t="s">
        <v>26</v>
      </c>
      <c r="D32">
        <f t="shared" si="0"/>
        <v>778</v>
      </c>
      <c r="E32" t="s">
        <v>38</v>
      </c>
      <c r="F32" s="8">
        <f t="shared" si="1"/>
        <v>900</v>
      </c>
    </row>
    <row r="33" spans="3:6" x14ac:dyDescent="0.2">
      <c r="C33" s="16" t="s">
        <v>27</v>
      </c>
      <c r="D33">
        <f t="shared" si="0"/>
        <v>896</v>
      </c>
      <c r="E33" t="s">
        <v>38</v>
      </c>
      <c r="F33" s="8">
        <f t="shared" si="1"/>
        <v>900</v>
      </c>
    </row>
    <row r="34" spans="3:6" x14ac:dyDescent="0.2">
      <c r="C34" s="17" t="s">
        <v>28</v>
      </c>
      <c r="D34" s="25">
        <f t="shared" si="0"/>
        <v>702</v>
      </c>
      <c r="E34" s="25" t="s">
        <v>38</v>
      </c>
      <c r="F34" s="26">
        <f t="shared" si="1"/>
        <v>900</v>
      </c>
    </row>
    <row r="35" spans="3:6" x14ac:dyDescent="0.2">
      <c r="C35" s="27" t="s">
        <v>40</v>
      </c>
      <c r="D35" s="28">
        <f>SUM(D23:M23)</f>
        <v>4</v>
      </c>
      <c r="E35" s="28" t="s">
        <v>38</v>
      </c>
      <c r="F35" s="28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base model</vt:lpstr>
      <vt:lpstr>tolerance 0.5</vt:lpstr>
      <vt:lpstr>P6 P7 not together</vt:lpstr>
      <vt:lpstr>P1 P2 must be together</vt:lpstr>
      <vt:lpstr>If P3 then P4</vt:lpstr>
      <vt:lpstr>At most 4 of P1-P10</vt:lpstr>
      <vt:lpstr>Sheet2</vt:lpstr>
      <vt:lpstr>Sheet3</vt:lpstr>
      <vt:lpstr>doit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</dc:creator>
  <cp:lastModifiedBy>Danko Turcic</cp:lastModifiedBy>
  <dcterms:created xsi:type="dcterms:W3CDTF">2015-02-20T23:07:07Z</dcterms:created>
  <dcterms:modified xsi:type="dcterms:W3CDTF">2026-04-06T22:22:39Z</dcterms:modified>
</cp:coreProperties>
</file>