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kot/Library/CloudStorage/GoogleDrive-danko.turcic@gmail.com/My Drive/MGT 207/Week 2 (Abridged Optimization)/Week-2-Optimization/"/>
    </mc:Choice>
  </mc:AlternateContent>
  <xr:revisionPtr revIDLastSave="0" documentId="13_ncr:1_{994F563B-8574-D948-BBD9-93E9C897BD00}" xr6:coauthVersionLast="47" xr6:coauthVersionMax="47" xr10:uidLastSave="{00000000-0000-0000-0000-000000000000}"/>
  <bookViews>
    <workbookView xWindow="0" yWindow="680" windowWidth="30240" windowHeight="18960" activeTab="1" xr2:uid="{A1F28D3E-F9B5-4CF6-950D-32E61D67B55D}"/>
  </bookViews>
  <sheets>
    <sheet name="Answer Report 1" sheetId="2" r:id="rId1"/>
    <sheet name="Sheet1" sheetId="1" r:id="rId2"/>
  </sheets>
  <definedNames>
    <definedName name="solver_adj" localSheetId="1" hidden="1">Sheet1!$C$4:$G$5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Sheet1!$I$8</definedName>
    <definedName name="solver_lhs2" localSheetId="1" hidden="1">Sheet1!$I$9:$I$11</definedName>
    <definedName name="solver_lhs3" localSheetId="1" hidden="1">Sheet1!$I$9:$I$11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Sheet1!$I$6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3</definedName>
    <definedName name="solver_rhs1" localSheetId="1" hidden="1">Sheet1!$K$8</definedName>
    <definedName name="solver_rhs2" localSheetId="1" hidden="1">Sheet1!$K$9:$K$11</definedName>
    <definedName name="solver_rhs3" localSheetId="1" hidden="1">Sheet1!$K$9:$K$11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6" i="1"/>
</calcChain>
</file>

<file path=xl/sharedStrings.xml><?xml version="1.0" encoding="utf-8"?>
<sst xmlns="http://schemas.openxmlformats.org/spreadsheetml/2006/main" count="77" uniqueCount="52">
  <si>
    <t>x1</t>
  </si>
  <si>
    <t>x2</t>
  </si>
  <si>
    <t>x3</t>
  </si>
  <si>
    <t>x4</t>
  </si>
  <si>
    <t>x5</t>
  </si>
  <si>
    <t>Costs</t>
  </si>
  <si>
    <t>Calories</t>
  </si>
  <si>
    <t>Vit C</t>
  </si>
  <si>
    <t>Protein</t>
  </si>
  <si>
    <t>Calcium</t>
  </si>
  <si>
    <t>&gt;=</t>
  </si>
  <si>
    <t>&lt;=</t>
  </si>
  <si>
    <t>Microsoft Excel 16.0 Answer Report</t>
  </si>
  <si>
    <t>Worksheet: [Book2]Sheet1</t>
  </si>
  <si>
    <t>Report Created: 4/6/2020 12:56:48 PM</t>
  </si>
  <si>
    <t>Result: Solver found a solution.  All Constraints and optimality conditions are satisfied.</t>
  </si>
  <si>
    <t>Solver Engine</t>
  </si>
  <si>
    <t>Engine: Simplex LP</t>
  </si>
  <si>
    <t>Solution Time: 0.063 Seconds.</t>
  </si>
  <si>
    <t>Iterations: 2 Subproblems: 16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</si>
  <si>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</si>
  <si>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</si>
  <si>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</si>
  <si>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</si>
  <si>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</si>
  <si>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</si>
  <si>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</si>
  <si>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</si>
  <si>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</si>
  <si>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</si>
  <si>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</si>
  <si>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</si>
  <si>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</si>
  <si>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</si>
  <si>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</si>
  <si>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$I$6</t>
  </si>
  <si>
    <t>$C$4</t>
  </si>
  <si>
    <t>$D$4</t>
  </si>
  <si>
    <t>$E$4</t>
  </si>
  <si>
    <t>$F$4</t>
  </si>
  <si>
    <t>$G$4</t>
  </si>
  <si>
    <t>$I$8</t>
  </si>
  <si>
    <t>$I$8&lt;=$K$8</t>
  </si>
  <si>
    <t>Not Binding</t>
  </si>
  <si>
    <t>$I$9</t>
  </si>
  <si>
    <t>$I$9&gt;=$K$9</t>
  </si>
  <si>
    <t>$I$10</t>
  </si>
  <si>
    <t>$I$10&gt;=$K$10</t>
  </si>
  <si>
    <t>$I$11</t>
  </si>
  <si>
    <t>$I$11&gt;=$K$11</t>
  </si>
  <si>
    <t>Binding</t>
  </si>
  <si>
    <t>$C$4:$G$4=Integer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</si>
</sst>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B16D-3251-4812-840B-E1D6097BA11F}">
  <dimension ref="A1:G34"/>
  <sheetViews>
    <sheetView showGridLines="0" topLeftCell="A17" workbookViewId="0"/>
  </sheetViews>
  <sheetFormatPr baseColWidth="10" defaultColWidth="8.83203125" defaultRowHeight="15" x14ac:dyDescent="0.2"/>
  <cols>
    <col min="1" max="1" width="2.1640625" customWidth="1"/>
    <col min="2" max="2" width="16.5" bestFit="1" customWidth="1"/>
    <col min="3" max="3" width="7.1640625" bestFit="1" customWidth="1"/>
    <col min="4" max="4" width="12.5" bestFit="1" customWidth="1"/>
    <col min="5" max="5" width="12.1640625" bestFit="1" customWidth="1"/>
    <col min="6" max="6" width="10.1640625" bestFit="1" customWidth="1"/>
    <col min="7" max="7" width="4.83203125" bestFit="1" customWidth="1"/>
  </cols>
  <sheetData>
    <row r="1" spans="1:5" x14ac:dyDescent="0.2">
      <c r="A1" s="3" t="s">
        <v>12</v>
      </c>
    </row>
    <row r="2" spans="1:5" x14ac:dyDescent="0.2">
      <c r="A2" s="3" t="s">
        <v>13</v>
      </c>
    </row>
    <row r="3" spans="1:5" x14ac:dyDescent="0.2">
      <c r="A3" s="3" t="s">
        <v>14</v>
      </c>
    </row>
    <row r="4" spans="1:5" x14ac:dyDescent="0.2">
      <c r="A4" s="3" t="s">
        <v>15</v>
      </c>
    </row>
    <row r="5" spans="1:5" x14ac:dyDescent="0.2">
      <c r="A5" s="3" t="s">
        <v>16</v>
      </c>
    </row>
    <row r="6" spans="1:5" x14ac:dyDescent="0.2">
      <c r="A6" s="3"/>
      <c r="B6" t="s">
        <v>17</v>
      </c>
    </row>
    <row r="7" spans="1:5" x14ac:dyDescent="0.2">
      <c r="A7" s="3"/>
      <c r="B7" t="s">
        <v>18</v>
      </c>
    </row>
    <row r="8" spans="1:5" x14ac:dyDescent="0.2">
      <c r="A8" s="3"/>
      <c r="B8" t="s">
        <v>19</v>
      </c>
    </row>
    <row r="9" spans="1:5" x14ac:dyDescent="0.2">
      <c r="A9" s="3" t="s">
        <v>20</v>
      </c>
    </row>
    <row r="10" spans="1:5" x14ac:dyDescent="0.2">
      <c r="B10" t="s">
        <v>21</v>
      </c>
    </row>
    <row r="11" spans="1:5" x14ac:dyDescent="0.2">
      <c r="B11" t="s">
        <v>22</v>
      </c>
    </row>
    <row r="14" spans="1:5" ht="16" thickBot="1" x14ac:dyDescent="0.25">
      <c r="A14" t="s">
        <v>23</v>
      </c>
    </row>
    <row r="15" spans="1:5" ht="16" thickBot="1" x14ac:dyDescent="0.25">
      <c r="B15" s="5" t="s">
        <v>24</v>
      </c>
      <c r="C15" s="5" t="s">
        <v>25</v>
      </c>
      <c r="D15" s="5" t="s">
        <v>26</v>
      </c>
      <c r="E15" s="5" t="s">
        <v>27</v>
      </c>
    </row>
    <row r="16" spans="1:5" ht="16" thickBot="1" x14ac:dyDescent="0.25">
      <c r="B16" s="4" t="s">
        <v>35</v>
      </c>
      <c r="C16" s="4" t="s">
        <v>5</v>
      </c>
      <c r="D16" s="4">
        <v>9.0299999999999976</v>
      </c>
      <c r="E16" s="4">
        <v>9.0299999999999976</v>
      </c>
    </row>
    <row r="19" spans="1:7" ht="16" thickBot="1" x14ac:dyDescent="0.25">
      <c r="A19" t="s">
        <v>28</v>
      </c>
    </row>
    <row r="20" spans="1:7" ht="16" thickBot="1" x14ac:dyDescent="0.25">
      <c r="B20" s="5" t="s">
        <v>24</v>
      </c>
      <c r="C20" s="5" t="s">
        <v>25</v>
      </c>
      <c r="D20" s="5" t="s">
        <v>26</v>
      </c>
      <c r="E20" s="5" t="s">
        <v>27</v>
      </c>
      <c r="F20" s="5" t="s">
        <v>29</v>
      </c>
    </row>
    <row r="21" spans="1:7" x14ac:dyDescent="0.2">
      <c r="B21" s="6" t="s">
        <v>36</v>
      </c>
      <c r="C21" s="6" t="s">
        <v>0</v>
      </c>
      <c r="D21" s="6">
        <v>6</v>
      </c>
      <c r="E21" s="6">
        <v>6</v>
      </c>
      <c r="F21" s="6" t="s">
        <v>29</v>
      </c>
    </row>
    <row r="22" spans="1:7" x14ac:dyDescent="0.2">
      <c r="B22" s="6" t="s">
        <v>37</v>
      </c>
      <c r="C22" s="6" t="s">
        <v>1</v>
      </c>
      <c r="D22" s="6">
        <v>0</v>
      </c>
      <c r="E22" s="6">
        <v>0</v>
      </c>
      <c r="F22" s="6" t="s">
        <v>29</v>
      </c>
    </row>
    <row r="23" spans="1:7" x14ac:dyDescent="0.2">
      <c r="B23" s="6" t="s">
        <v>38</v>
      </c>
      <c r="C23" s="6" t="s">
        <v>2</v>
      </c>
      <c r="D23" s="6">
        <v>0</v>
      </c>
      <c r="E23" s="6">
        <v>0</v>
      </c>
      <c r="F23" s="6" t="s">
        <v>29</v>
      </c>
    </row>
    <row r="24" spans="1:7" x14ac:dyDescent="0.2">
      <c r="B24" s="6" t="s">
        <v>39</v>
      </c>
      <c r="C24" s="6" t="s">
        <v>3</v>
      </c>
      <c r="D24" s="6">
        <v>2</v>
      </c>
      <c r="E24" s="6">
        <v>2</v>
      </c>
      <c r="F24" s="6" t="s">
        <v>29</v>
      </c>
    </row>
    <row r="25" spans="1:7" ht="16" thickBot="1" x14ac:dyDescent="0.25">
      <c r="B25" s="4" t="s">
        <v>40</v>
      </c>
      <c r="C25" s="4" t="s">
        <v>4</v>
      </c>
      <c r="D25" s="4">
        <v>1</v>
      </c>
      <c r="E25" s="4">
        <v>1</v>
      </c>
      <c r="F25" s="4" t="s">
        <v>29</v>
      </c>
    </row>
    <row r="28" spans="1:7" ht="16" thickBot="1" x14ac:dyDescent="0.25">
      <c r="A28" t="s">
        <v>30</v>
      </c>
    </row>
    <row r="29" spans="1:7" ht="16" thickBot="1" x14ac:dyDescent="0.25">
      <c r="B29" s="5" t="s">
        <v>24</v>
      </c>
      <c r="C29" s="5" t="s">
        <v>25</v>
      </c>
      <c r="D29" s="5" t="s">
        <v>31</v>
      </c>
      <c r="E29" s="5" t="s">
        <v>32</v>
      </c>
      <c r="F29" s="5" t="s">
        <v>33</v>
      </c>
      <c r="G29" s="5" t="s">
        <v>34</v>
      </c>
    </row>
    <row r="30" spans="1:7" x14ac:dyDescent="0.2">
      <c r="B30" s="6" t="s">
        <v>41</v>
      </c>
      <c r="C30" s="6" t="s">
        <v>6</v>
      </c>
      <c r="D30" s="6">
        <v>1890</v>
      </c>
      <c r="E30" s="6" t="s">
        <v>42</v>
      </c>
      <c r="F30" s="6" t="s">
        <v>43</v>
      </c>
      <c r="G30" s="6">
        <v>110</v>
      </c>
    </row>
    <row r="31" spans="1:7" x14ac:dyDescent="0.2">
      <c r="B31" s="6" t="s">
        <v>44</v>
      </c>
      <c r="C31" s="6" t="s">
        <v>7</v>
      </c>
      <c r="D31" s="6">
        <v>132</v>
      </c>
      <c r="E31" s="6" t="s">
        <v>45</v>
      </c>
      <c r="F31" s="6" t="s">
        <v>43</v>
      </c>
      <c r="G31" s="6">
        <v>32</v>
      </c>
    </row>
    <row r="32" spans="1:7" x14ac:dyDescent="0.2">
      <c r="B32" s="6" t="s">
        <v>46</v>
      </c>
      <c r="C32" s="6" t="s">
        <v>8</v>
      </c>
      <c r="D32" s="6">
        <v>85</v>
      </c>
      <c r="E32" s="6" t="s">
        <v>47</v>
      </c>
      <c r="F32" s="6" t="s">
        <v>43</v>
      </c>
      <c r="G32" s="6">
        <v>30</v>
      </c>
    </row>
    <row r="33" spans="2:7" x14ac:dyDescent="0.2">
      <c r="B33" s="6" t="s">
        <v>48</v>
      </c>
      <c r="C33" s="6" t="s">
        <v>9</v>
      </c>
      <c r="D33" s="6">
        <v>100</v>
      </c>
      <c r="E33" s="6" t="s">
        <v>49</v>
      </c>
      <c r="F33" s="6" t="s">
        <v>50</v>
      </c>
      <c r="G33" s="6">
        <v>0</v>
      </c>
    </row>
    <row r="34" spans="2:7" ht="16" thickBot="1" x14ac:dyDescent="0.25">
      <c r="B34" s="4" t="s">
        <v>51</v>
      </c>
      <c r="C34" s="4"/>
      <c r="D34" s="4"/>
      <c r="E34" s="4"/>
      <c r="F34" s="4"/>
      <c r="G3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B291-2733-4F2C-9861-E68EB4082F6D}">
  <dimension ref="B3:M11"/>
  <sheetViews>
    <sheetView tabSelected="1" zoomScale="160" zoomScaleNormal="160" workbookViewId="0">
      <selection activeCell="I8" sqref="I8"/>
    </sheetView>
  </sheetViews>
  <sheetFormatPr baseColWidth="10" defaultColWidth="8.83203125" defaultRowHeight="15" x14ac:dyDescent="0.2"/>
  <cols>
    <col min="2" max="2" width="7.33203125" bestFit="1" customWidth="1"/>
    <col min="3" max="7" width="5.1640625" style="1" bestFit="1" customWidth="1"/>
    <col min="8" max="8" width="8.6640625" style="1"/>
    <col min="9" max="9" width="9.6640625" style="1" customWidth="1"/>
    <col min="10" max="13" width="8.6640625" style="1"/>
  </cols>
  <sheetData>
    <row r="3" spans="2:11" x14ac:dyDescent="0.2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2:11" x14ac:dyDescent="0.2">
      <c r="C4" s="2">
        <v>1</v>
      </c>
      <c r="D4" s="2">
        <v>3</v>
      </c>
      <c r="E4" s="2">
        <v>1</v>
      </c>
      <c r="F4" s="2">
        <v>0</v>
      </c>
      <c r="G4" s="2">
        <v>0</v>
      </c>
    </row>
    <row r="6" spans="2:11" x14ac:dyDescent="0.2">
      <c r="B6" t="s">
        <v>5</v>
      </c>
      <c r="C6" s="1">
        <v>0.69</v>
      </c>
      <c r="D6" s="1">
        <v>1.99</v>
      </c>
      <c r="E6" s="1">
        <v>1.99</v>
      </c>
      <c r="F6" s="1">
        <v>2.0499999999999998</v>
      </c>
      <c r="G6" s="1">
        <v>0.79</v>
      </c>
      <c r="I6" s="1">
        <f>SUMPRODUCT($C$4:$G$4,C6:G6)</f>
        <v>8.65</v>
      </c>
    </row>
    <row r="8" spans="2:11" x14ac:dyDescent="0.2">
      <c r="B8" t="s">
        <v>6</v>
      </c>
      <c r="C8" s="1">
        <v>260</v>
      </c>
      <c r="D8" s="1">
        <v>560</v>
      </c>
      <c r="E8" s="1">
        <v>250</v>
      </c>
      <c r="F8" s="1">
        <v>35</v>
      </c>
      <c r="G8" s="1">
        <v>260</v>
      </c>
      <c r="I8" s="1">
        <f t="shared" ref="I8:I11" si="0">SUMPRODUCT($C$4:$G$4,C8:G8)</f>
        <v>2190</v>
      </c>
      <c r="J8" s="1" t="s">
        <v>11</v>
      </c>
      <c r="K8" s="1">
        <v>2000</v>
      </c>
    </row>
    <row r="9" spans="2:11" x14ac:dyDescent="0.2">
      <c r="B9" t="s">
        <v>7</v>
      </c>
      <c r="C9" s="1">
        <v>2</v>
      </c>
      <c r="D9" s="1">
        <v>2</v>
      </c>
      <c r="E9" s="1">
        <v>2</v>
      </c>
      <c r="F9" s="1">
        <v>40</v>
      </c>
      <c r="G9" s="1">
        <v>40</v>
      </c>
      <c r="I9" s="1">
        <f t="shared" si="0"/>
        <v>10</v>
      </c>
      <c r="J9" s="1" t="s">
        <v>10</v>
      </c>
      <c r="K9" s="1">
        <v>100</v>
      </c>
    </row>
    <row r="10" spans="2:11" x14ac:dyDescent="0.2">
      <c r="B10" t="s">
        <v>8</v>
      </c>
      <c r="C10" s="1">
        <v>13</v>
      </c>
      <c r="D10" s="1">
        <v>25</v>
      </c>
      <c r="E10" s="1">
        <v>15</v>
      </c>
      <c r="F10" s="1">
        <v>2</v>
      </c>
      <c r="G10" s="1">
        <v>3</v>
      </c>
      <c r="I10" s="1">
        <f t="shared" si="0"/>
        <v>103</v>
      </c>
      <c r="J10" s="1" t="s">
        <v>10</v>
      </c>
      <c r="K10" s="1">
        <v>55</v>
      </c>
    </row>
    <row r="11" spans="2:11" x14ac:dyDescent="0.2">
      <c r="B11" t="s">
        <v>9</v>
      </c>
      <c r="C11" s="1">
        <v>15</v>
      </c>
      <c r="D11" s="1">
        <v>25</v>
      </c>
      <c r="E11" s="1">
        <v>2</v>
      </c>
      <c r="F11" s="1">
        <v>4</v>
      </c>
      <c r="G11" s="1">
        <v>2</v>
      </c>
      <c r="I11" s="1">
        <f t="shared" si="0"/>
        <v>92</v>
      </c>
      <c r="J11" s="1" t="s">
        <v>10</v>
      </c>
      <c r="K1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 Report 1</vt:lpstr>
      <vt:lpstr>Sheet1</vt:lpstr>
    </vt:vector>
  </TitlesOfParts>
  <Company>UC Riverside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Danko Turcic</dc:creator>
  <cp:lastModifiedBy>Danko Turcic</cp:lastModifiedBy>
  <dcterms:created xsi:type="dcterms:W3CDTF">2020-04-06T17:35:52Z</dcterms:created>
  <dcterms:modified xsi:type="dcterms:W3CDTF">2026-10-07T21:39:40Z</dcterms:modified>
</cp:coreProperties>
</file>